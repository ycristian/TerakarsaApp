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67044517b4e346/Desktop/PDH OPMAT/PDH Opmat 2026/"/>
    </mc:Choice>
  </mc:AlternateContent>
  <xr:revisionPtr revIDLastSave="950" documentId="8_{A130C923-B448-40A1-A074-5417FF269822}" xr6:coauthVersionLast="47" xr6:coauthVersionMax="47" xr10:uidLastSave="{6FD3C508-3636-4633-8458-F56586851D04}"/>
  <bookViews>
    <workbookView xWindow="-98" yWindow="-98" windowWidth="19396" windowHeight="11475" xr2:uid="{6CE3903C-AC5C-484B-8153-64785D447C60}"/>
  </bookViews>
  <sheets>
    <sheet name="Size Baju Pria" sheetId="1" r:id="rId1"/>
    <sheet name="Grouping Size Celana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H40" i="1" l="1"/>
  <c r="G40" i="1"/>
  <c r="H27" i="1"/>
  <c r="H41" i="1" s="1"/>
  <c r="G27" i="1"/>
  <c r="G41" i="1" s="1"/>
  <c r="G43" i="1" s="1"/>
  <c r="I43" i="1" s="1"/>
  <c r="I26" i="1"/>
  <c r="I40" i="1" s="1"/>
  <c r="J26" i="1"/>
  <c r="J27" i="1" s="1"/>
  <c r="J41" i="1" s="1"/>
  <c r="I11" i="1"/>
  <c r="H11" i="1"/>
  <c r="G11" i="1"/>
  <c r="G35" i="1"/>
  <c r="K26" i="1" l="1"/>
  <c r="K40" i="1" s="1"/>
  <c r="L26" i="1"/>
  <c r="J40" i="1"/>
  <c r="K27" i="1"/>
  <c r="K41" i="1" s="1"/>
  <c r="I27" i="1"/>
  <c r="I41" i="1" s="1"/>
  <c r="U8" i="1"/>
  <c r="U9" i="1" s="1"/>
  <c r="C9" i="1"/>
  <c r="D9" i="1"/>
  <c r="H21" i="1"/>
  <c r="J21" i="1" s="1"/>
  <c r="L21" i="1" s="1"/>
  <c r="N21" i="1" s="1"/>
  <c r="P21" i="1" s="1"/>
  <c r="Q21" i="1" s="1"/>
  <c r="I21" i="1"/>
  <c r="K21" i="1"/>
  <c r="M21" i="1" s="1"/>
  <c r="O21" i="1" s="1"/>
  <c r="R21" i="1" s="1"/>
  <c r="I6" i="1"/>
  <c r="K6" i="1" s="1"/>
  <c r="M6" i="1" s="1"/>
  <c r="O6" i="1" s="1"/>
  <c r="R6" i="1" s="1"/>
  <c r="V6" i="1" s="1"/>
  <c r="H6" i="1"/>
  <c r="J6" i="1" s="1"/>
  <c r="L6" i="1" s="1"/>
  <c r="N6" i="1" s="1"/>
  <c r="P6" i="1" s="1"/>
  <c r="Q6" i="1" s="1"/>
  <c r="AK5" i="1"/>
  <c r="AJ5" i="1"/>
  <c r="AI5" i="1"/>
  <c r="AH5" i="1"/>
  <c r="W5" i="1"/>
  <c r="U5" i="1"/>
  <c r="S5" i="1"/>
  <c r="Q5" i="1"/>
  <c r="L27" i="1" l="1"/>
  <c r="L41" i="1" s="1"/>
  <c r="L40" i="1"/>
  <c r="U21" i="1"/>
  <c r="S21" i="1"/>
  <c r="T6" i="1"/>
  <c r="U6" i="1" s="1"/>
  <c r="S6" i="1"/>
  <c r="W21" i="1" l="1"/>
  <c r="X21" i="1" s="1"/>
  <c r="T21" i="1"/>
  <c r="T35" i="1" s="1"/>
  <c r="V21" i="1"/>
  <c r="Y21" i="1"/>
  <c r="Z6" i="1"/>
  <c r="AA6" i="1" s="1"/>
  <c r="Y6" i="1"/>
  <c r="X6" i="1"/>
  <c r="W6" i="1"/>
  <c r="AC6" i="1" l="1"/>
  <c r="AD6" i="1" s="1"/>
  <c r="AE6" i="1" s="1"/>
  <c r="AF6" i="1" s="1"/>
  <c r="AG6" i="1" s="1"/>
  <c r="AH6" i="1" s="1"/>
  <c r="AI6" i="1" s="1"/>
  <c r="AJ6" i="1" s="1"/>
  <c r="AK6" i="1" s="1"/>
  <c r="AB6" i="1"/>
  <c r="Z21" i="1" l="1"/>
  <c r="V35" i="1" l="1"/>
  <c r="G24" i="4"/>
  <c r="I24" i="4" s="1"/>
  <c r="K24" i="4" s="1"/>
  <c r="M24" i="4" s="1"/>
  <c r="O24" i="4" s="1"/>
  <c r="Q24" i="4" s="1"/>
  <c r="S24" i="4" s="1"/>
  <c r="U24" i="4" s="1"/>
  <c r="W24" i="4" s="1"/>
  <c r="Y24" i="4" s="1"/>
  <c r="AA24" i="4" s="1"/>
  <c r="F24" i="4"/>
  <c r="H24" i="4" s="1"/>
  <c r="J24" i="4" s="1"/>
  <c r="L24" i="4" s="1"/>
  <c r="N24" i="4" s="1"/>
  <c r="P24" i="4" s="1"/>
  <c r="R24" i="4" s="1"/>
  <c r="T24" i="4" s="1"/>
  <c r="V24" i="4" s="1"/>
  <c r="X24" i="4" s="1"/>
  <c r="Z24" i="4" s="1"/>
  <c r="AB24" i="4" s="1"/>
  <c r="G23" i="4"/>
  <c r="I23" i="4" s="1"/>
  <c r="K23" i="4" s="1"/>
  <c r="M23" i="4" s="1"/>
  <c r="O23" i="4" s="1"/>
  <c r="Q23" i="4" s="1"/>
  <c r="S23" i="4" s="1"/>
  <c r="U23" i="4" s="1"/>
  <c r="W23" i="4" s="1"/>
  <c r="Y23" i="4" s="1"/>
  <c r="AA23" i="4" s="1"/>
  <c r="AC23" i="4" s="1"/>
  <c r="AE23" i="4" s="1"/>
  <c r="F23" i="4"/>
  <c r="H23" i="4" s="1"/>
  <c r="J23" i="4" s="1"/>
  <c r="L23" i="4" s="1"/>
  <c r="N23" i="4" s="1"/>
  <c r="P23" i="4" s="1"/>
  <c r="R23" i="4" s="1"/>
  <c r="T23" i="4" s="1"/>
  <c r="V23" i="4" s="1"/>
  <c r="X23" i="4" s="1"/>
  <c r="Z23" i="4" s="1"/>
  <c r="AB23" i="4" s="1"/>
  <c r="AD23" i="4" s="1"/>
  <c r="AF23" i="4" s="1"/>
  <c r="G22" i="4"/>
  <c r="I22" i="4" s="1"/>
  <c r="K22" i="4" s="1"/>
  <c r="M22" i="4" s="1"/>
  <c r="O22" i="4" s="1"/>
  <c r="Q22" i="4" s="1"/>
  <c r="S22" i="4" s="1"/>
  <c r="U22" i="4" s="1"/>
  <c r="W22" i="4" s="1"/>
  <c r="Y22" i="4" s="1"/>
  <c r="AA22" i="4" s="1"/>
  <c r="AC22" i="4" s="1"/>
  <c r="AE22" i="4" s="1"/>
  <c r="F22" i="4"/>
  <c r="H22" i="4" s="1"/>
  <c r="J22" i="4" s="1"/>
  <c r="L22" i="4" s="1"/>
  <c r="N22" i="4" s="1"/>
  <c r="P22" i="4" s="1"/>
  <c r="R22" i="4" s="1"/>
  <c r="T22" i="4" s="1"/>
  <c r="V22" i="4" s="1"/>
  <c r="X22" i="4" s="1"/>
  <c r="Z22" i="4" s="1"/>
  <c r="AB22" i="4" s="1"/>
  <c r="AD22" i="4" s="1"/>
  <c r="G21" i="4"/>
  <c r="I21" i="4" s="1"/>
  <c r="K21" i="4" s="1"/>
  <c r="M21" i="4" s="1"/>
  <c r="O21" i="4" s="1"/>
  <c r="Q21" i="4" s="1"/>
  <c r="S21" i="4" s="1"/>
  <c r="U21" i="4" s="1"/>
  <c r="W21" i="4" s="1"/>
  <c r="Y21" i="4" s="1"/>
  <c r="AA21" i="4" s="1"/>
  <c r="AC21" i="4" s="1"/>
  <c r="AE21" i="4" s="1"/>
  <c r="F21" i="4"/>
  <c r="H21" i="4" s="1"/>
  <c r="J21" i="4" s="1"/>
  <c r="L21" i="4" s="1"/>
  <c r="N21" i="4" s="1"/>
  <c r="P21" i="4" s="1"/>
  <c r="R21" i="4" s="1"/>
  <c r="T21" i="4" s="1"/>
  <c r="V21" i="4" s="1"/>
  <c r="X21" i="4" s="1"/>
  <c r="Z21" i="4" s="1"/>
  <c r="AB21" i="4" s="1"/>
  <c r="AD21" i="4" s="1"/>
  <c r="G20" i="4"/>
  <c r="I20" i="4" s="1"/>
  <c r="K20" i="4" s="1"/>
  <c r="M20" i="4" s="1"/>
  <c r="O20" i="4" s="1"/>
  <c r="Q20" i="4" s="1"/>
  <c r="S20" i="4" s="1"/>
  <c r="U20" i="4" s="1"/>
  <c r="W20" i="4" s="1"/>
  <c r="Y20" i="4" s="1"/>
  <c r="AA20" i="4" s="1"/>
  <c r="AC20" i="4" s="1"/>
  <c r="AE20" i="4" s="1"/>
  <c r="F20" i="4"/>
  <c r="H20" i="4" s="1"/>
  <c r="J20" i="4" s="1"/>
  <c r="L20" i="4" s="1"/>
  <c r="N20" i="4" s="1"/>
  <c r="P20" i="4" s="1"/>
  <c r="R20" i="4" s="1"/>
  <c r="T20" i="4" s="1"/>
  <c r="V20" i="4" s="1"/>
  <c r="X20" i="4" s="1"/>
  <c r="Z20" i="4" s="1"/>
  <c r="AB20" i="4" s="1"/>
  <c r="AD20" i="4" s="1"/>
  <c r="C19" i="4"/>
  <c r="D18" i="4"/>
  <c r="E18" i="4" s="1"/>
  <c r="E19" i="4" s="1"/>
  <c r="F11" i="4"/>
  <c r="H11" i="4" s="1"/>
  <c r="J11" i="4" s="1"/>
  <c r="E11" i="4"/>
  <c r="G11" i="4" s="1"/>
  <c r="I11" i="4" s="1"/>
  <c r="F10" i="4"/>
  <c r="H10" i="4" s="1"/>
  <c r="J10" i="4" s="1"/>
  <c r="L10" i="4" s="1"/>
  <c r="N10" i="4" s="1"/>
  <c r="P10" i="4" s="1"/>
  <c r="R10" i="4" s="1"/>
  <c r="T10" i="4" s="1"/>
  <c r="V10" i="4" s="1"/>
  <c r="X10" i="4" s="1"/>
  <c r="AA10" i="4" s="1"/>
  <c r="AC10" i="4" s="1"/>
  <c r="AE10" i="4" s="1"/>
  <c r="E10" i="4"/>
  <c r="G10" i="4" s="1"/>
  <c r="I10" i="4" s="1"/>
  <c r="K10" i="4" s="1"/>
  <c r="M10" i="4" s="1"/>
  <c r="O10" i="4" s="1"/>
  <c r="Q10" i="4" s="1"/>
  <c r="S10" i="4" s="1"/>
  <c r="U10" i="4" s="1"/>
  <c r="W10" i="4" s="1"/>
  <c r="F9" i="4"/>
  <c r="H9" i="4" s="1"/>
  <c r="J9" i="4" s="1"/>
  <c r="L9" i="4" s="1"/>
  <c r="N9" i="4" s="1"/>
  <c r="P9" i="4" s="1"/>
  <c r="R9" i="4" s="1"/>
  <c r="T9" i="4" s="1"/>
  <c r="V9" i="4" s="1"/>
  <c r="X9" i="4" s="1"/>
  <c r="AA9" i="4" s="1"/>
  <c r="AC9" i="4" s="1"/>
  <c r="AE9" i="4" s="1"/>
  <c r="E9" i="4"/>
  <c r="G9" i="4" s="1"/>
  <c r="I9" i="4" s="1"/>
  <c r="K9" i="4" s="1"/>
  <c r="M9" i="4" s="1"/>
  <c r="O9" i="4" s="1"/>
  <c r="Q9" i="4" s="1"/>
  <c r="S9" i="4" s="1"/>
  <c r="U9" i="4" s="1"/>
  <c r="W9" i="4" s="1"/>
  <c r="F8" i="4"/>
  <c r="H8" i="4" s="1"/>
  <c r="J8" i="4" s="1"/>
  <c r="L8" i="4" s="1"/>
  <c r="N8" i="4" s="1"/>
  <c r="P8" i="4" s="1"/>
  <c r="R8" i="4" s="1"/>
  <c r="T8" i="4" s="1"/>
  <c r="V8" i="4" s="1"/>
  <c r="X8" i="4" s="1"/>
  <c r="AA8" i="4" s="1"/>
  <c r="AC8" i="4" s="1"/>
  <c r="AE8" i="4" s="1"/>
  <c r="E8" i="4"/>
  <c r="G8" i="4" s="1"/>
  <c r="I8" i="4" s="1"/>
  <c r="K8" i="4" s="1"/>
  <c r="M8" i="4" s="1"/>
  <c r="O8" i="4" s="1"/>
  <c r="Q8" i="4" s="1"/>
  <c r="S8" i="4" s="1"/>
  <c r="U8" i="4" s="1"/>
  <c r="W8" i="4" s="1"/>
  <c r="F7" i="4"/>
  <c r="H7" i="4" s="1"/>
  <c r="J7" i="4" s="1"/>
  <c r="L7" i="4" s="1"/>
  <c r="N7" i="4" s="1"/>
  <c r="P7" i="4" s="1"/>
  <c r="R7" i="4" s="1"/>
  <c r="T7" i="4" s="1"/>
  <c r="V7" i="4" s="1"/>
  <c r="X7" i="4" s="1"/>
  <c r="E7" i="4"/>
  <c r="G7" i="4" s="1"/>
  <c r="I7" i="4" s="1"/>
  <c r="K7" i="4" s="1"/>
  <c r="M7" i="4" s="1"/>
  <c r="O7" i="4" s="1"/>
  <c r="Q7" i="4" s="1"/>
  <c r="S7" i="4" s="1"/>
  <c r="U7" i="4" s="1"/>
  <c r="W7" i="4" s="1"/>
  <c r="AE6" i="4"/>
  <c r="AD6" i="4"/>
  <c r="AC6" i="4"/>
  <c r="AB6" i="4"/>
  <c r="C6" i="4"/>
  <c r="D5" i="4"/>
  <c r="D6" i="4" s="1"/>
  <c r="AJ42" i="1"/>
  <c r="H43" i="1"/>
  <c r="E41" i="1"/>
  <c r="E40" i="1"/>
  <c r="H39" i="1"/>
  <c r="E39" i="1"/>
  <c r="C38" i="1"/>
  <c r="C37" i="1"/>
  <c r="C36" i="1"/>
  <c r="H35" i="1"/>
  <c r="F35" i="1"/>
  <c r="E35" i="1"/>
  <c r="J25" i="1"/>
  <c r="J39" i="1" s="1"/>
  <c r="I25" i="1"/>
  <c r="I39" i="1" s="1"/>
  <c r="E22" i="1"/>
  <c r="E36" i="1" s="1"/>
  <c r="D22" i="1"/>
  <c r="D23" i="1" s="1"/>
  <c r="K35" i="1"/>
  <c r="K12" i="1"/>
  <c r="J12" i="1"/>
  <c r="AK8" i="1"/>
  <c r="AK9" i="1" s="1"/>
  <c r="AJ8" i="1"/>
  <c r="AJ9" i="1" s="1"/>
  <c r="AI8" i="1"/>
  <c r="AI9" i="1" s="1"/>
  <c r="AH8" i="1"/>
  <c r="AH9" i="1" s="1"/>
  <c r="W8" i="1"/>
  <c r="W9" i="1" s="1"/>
  <c r="S8" i="1"/>
  <c r="S9" i="1" s="1"/>
  <c r="Q8" i="1"/>
  <c r="Q9" i="1" s="1"/>
  <c r="D8" i="1"/>
  <c r="C8" i="1"/>
  <c r="Y7" i="1"/>
  <c r="F7" i="1"/>
  <c r="F8" i="1" s="1"/>
  <c r="E7" i="1"/>
  <c r="D19" i="4" l="1"/>
  <c r="L12" i="1"/>
  <c r="J11" i="1"/>
  <c r="M12" i="1"/>
  <c r="K11" i="1"/>
  <c r="Y8" i="1"/>
  <c r="Y9" i="1" s="1"/>
  <c r="Y5" i="1"/>
  <c r="J43" i="1"/>
  <c r="L43" i="1" s="1"/>
  <c r="N43" i="1" s="1"/>
  <c r="E8" i="1"/>
  <c r="G7" i="1"/>
  <c r="AF6" i="4"/>
  <c r="Y8" i="4"/>
  <c r="AB8" i="4" s="1"/>
  <c r="AD8" i="4" s="1"/>
  <c r="AF8" i="4" s="1"/>
  <c r="Z8" i="4"/>
  <c r="Y10" i="4"/>
  <c r="AB10" i="4" s="1"/>
  <c r="AD10" i="4" s="1"/>
  <c r="AF10" i="4" s="1"/>
  <c r="Z10" i="4"/>
  <c r="E5" i="4"/>
  <c r="Y9" i="4"/>
  <c r="AB9" i="4" s="1"/>
  <c r="AD9" i="4" s="1"/>
  <c r="AF9" i="4" s="1"/>
  <c r="Z9" i="4"/>
  <c r="M26" i="1"/>
  <c r="I35" i="1"/>
  <c r="D36" i="1"/>
  <c r="K43" i="1"/>
  <c r="M43" i="1" s="1"/>
  <c r="E23" i="1"/>
  <c r="E24" i="1" s="1"/>
  <c r="E38" i="1" s="1"/>
  <c r="K25" i="1"/>
  <c r="M25" i="1" s="1"/>
  <c r="P25" i="1" s="1"/>
  <c r="P39" i="1" s="1"/>
  <c r="L25" i="1"/>
  <c r="N25" i="1" s="1"/>
  <c r="E9" i="1"/>
  <c r="H7" i="1"/>
  <c r="F9" i="1"/>
  <c r="F18" i="4"/>
  <c r="D37" i="1"/>
  <c r="D24" i="1"/>
  <c r="D38" i="1" s="1"/>
  <c r="F22" i="1"/>
  <c r="L35" i="1"/>
  <c r="P35" i="1"/>
  <c r="J35" i="1"/>
  <c r="P43" i="1" l="1"/>
  <c r="O43" i="1"/>
  <c r="R43" i="1" s="1"/>
  <c r="U43" i="1" s="1"/>
  <c r="V43" i="1" s="1"/>
  <c r="H9" i="1"/>
  <c r="H5" i="1"/>
  <c r="H8" i="1"/>
  <c r="M27" i="1"/>
  <c r="M41" i="1" s="1"/>
  <c r="M40" i="1"/>
  <c r="O12" i="1"/>
  <c r="M11" i="1"/>
  <c r="G9" i="1"/>
  <c r="G8" i="1"/>
  <c r="N12" i="1"/>
  <c r="L11" i="1"/>
  <c r="I7" i="1"/>
  <c r="G5" i="1"/>
  <c r="E6" i="4"/>
  <c r="F5" i="4"/>
  <c r="O26" i="1"/>
  <c r="P26" i="1"/>
  <c r="K39" i="1"/>
  <c r="E37" i="1"/>
  <c r="L39" i="1"/>
  <c r="J7" i="1"/>
  <c r="F19" i="4"/>
  <c r="G18" i="4"/>
  <c r="N26" i="1"/>
  <c r="O25" i="1"/>
  <c r="M39" i="1"/>
  <c r="N35" i="1"/>
  <c r="Q35" i="1"/>
  <c r="F36" i="1"/>
  <c r="G22" i="1"/>
  <c r="G24" i="1" s="1"/>
  <c r="F23" i="1"/>
  <c r="N39" i="1"/>
  <c r="Q25" i="1"/>
  <c r="M35" i="1"/>
  <c r="S43" i="1" l="1"/>
  <c r="Q43" i="1"/>
  <c r="G38" i="1"/>
  <c r="G36" i="1"/>
  <c r="G34" i="1" s="1"/>
  <c r="G23" i="1"/>
  <c r="G37" i="1" s="1"/>
  <c r="J9" i="1"/>
  <c r="J8" i="1"/>
  <c r="J5" i="1"/>
  <c r="R12" i="1"/>
  <c r="O11" i="1"/>
  <c r="Q39" i="1"/>
  <c r="T25" i="1"/>
  <c r="T39" i="1" s="1"/>
  <c r="I9" i="1"/>
  <c r="I8" i="1"/>
  <c r="P40" i="1"/>
  <c r="P27" i="1"/>
  <c r="P41" i="1" s="1"/>
  <c r="S26" i="1"/>
  <c r="P12" i="1"/>
  <c r="N11" i="1"/>
  <c r="N27" i="1"/>
  <c r="N41" i="1" s="1"/>
  <c r="N40" i="1"/>
  <c r="R26" i="1"/>
  <c r="O40" i="1"/>
  <c r="O27" i="1"/>
  <c r="O41" i="1" s="1"/>
  <c r="Q26" i="1"/>
  <c r="K7" i="1"/>
  <c r="I5" i="1"/>
  <c r="G5" i="4"/>
  <c r="F6" i="4"/>
  <c r="L7" i="1"/>
  <c r="G19" i="4"/>
  <c r="H18" i="4"/>
  <c r="U35" i="1"/>
  <c r="O35" i="1"/>
  <c r="S25" i="1"/>
  <c r="U39" i="1" s="1"/>
  <c r="F37" i="1"/>
  <c r="F24" i="1"/>
  <c r="F38" i="1" s="1"/>
  <c r="G20" i="1"/>
  <c r="H22" i="1"/>
  <c r="H24" i="1" s="1"/>
  <c r="R25" i="1"/>
  <c r="V25" i="1" s="1"/>
  <c r="V39" i="1" s="1"/>
  <c r="O39" i="1"/>
  <c r="W43" i="1" l="1"/>
  <c r="T43" i="1"/>
  <c r="Y43" i="1"/>
  <c r="H38" i="1"/>
  <c r="H23" i="1"/>
  <c r="Q12" i="1"/>
  <c r="Q11" i="1" s="1"/>
  <c r="P11" i="1"/>
  <c r="L9" i="1"/>
  <c r="L8" i="1"/>
  <c r="L5" i="1"/>
  <c r="Q40" i="1"/>
  <c r="Q27" i="1"/>
  <c r="Q41" i="1" s="1"/>
  <c r="R11" i="1"/>
  <c r="V12" i="1"/>
  <c r="T12" i="1"/>
  <c r="S12" i="1"/>
  <c r="R40" i="1"/>
  <c r="R27" i="1"/>
  <c r="R41" i="1" s="1"/>
  <c r="U26" i="1"/>
  <c r="T26" i="1"/>
  <c r="W26" i="1"/>
  <c r="S40" i="1"/>
  <c r="S27" i="1"/>
  <c r="S41" i="1" s="1"/>
  <c r="M7" i="1"/>
  <c r="K9" i="1"/>
  <c r="K8" i="1"/>
  <c r="K5" i="1"/>
  <c r="H5" i="4"/>
  <c r="G6" i="4"/>
  <c r="N7" i="1"/>
  <c r="I18" i="4"/>
  <c r="H19" i="4"/>
  <c r="R39" i="1"/>
  <c r="U25" i="1"/>
  <c r="S39" i="1"/>
  <c r="W25" i="1"/>
  <c r="W39" i="1" s="1"/>
  <c r="H36" i="1"/>
  <c r="H20" i="1"/>
  <c r="I22" i="1"/>
  <c r="I24" i="1" s="1"/>
  <c r="O7" i="1"/>
  <c r="X35" i="1"/>
  <c r="R35" i="1"/>
  <c r="S35" i="1"/>
  <c r="Z43" i="1" l="1"/>
  <c r="X43" i="1"/>
  <c r="T27" i="1"/>
  <c r="T41" i="1" s="1"/>
  <c r="T40" i="1"/>
  <c r="M9" i="1"/>
  <c r="M8" i="1"/>
  <c r="Z12" i="1"/>
  <c r="Z11" i="1" s="1"/>
  <c r="V11" i="1"/>
  <c r="W27" i="1"/>
  <c r="W41" i="1" s="1"/>
  <c r="X26" i="1"/>
  <c r="W40" i="1"/>
  <c r="O9" i="1"/>
  <c r="O8" i="1"/>
  <c r="U27" i="1"/>
  <c r="U41" i="1" s="1"/>
  <c r="V26" i="1"/>
  <c r="U40" i="1"/>
  <c r="Y26" i="1"/>
  <c r="I38" i="1"/>
  <c r="I23" i="1"/>
  <c r="N9" i="1"/>
  <c r="N5" i="1"/>
  <c r="N8" i="1"/>
  <c r="S11" i="1"/>
  <c r="W12" i="1"/>
  <c r="U12" i="1"/>
  <c r="U11" i="1" s="1"/>
  <c r="T11" i="1"/>
  <c r="X12" i="1"/>
  <c r="M5" i="1"/>
  <c r="O5" i="1"/>
  <c r="I5" i="4"/>
  <c r="H6" i="4"/>
  <c r="X25" i="1"/>
  <c r="X39" i="1" s="1"/>
  <c r="P7" i="1"/>
  <c r="I19" i="4"/>
  <c r="J18" i="4"/>
  <c r="J22" i="1"/>
  <c r="J24" i="1" s="1"/>
  <c r="I20" i="1"/>
  <c r="I36" i="1"/>
  <c r="I34" i="1" s="1"/>
  <c r="H34" i="1"/>
  <c r="Z25" i="1"/>
  <c r="H37" i="1"/>
  <c r="Y25" i="1"/>
  <c r="Y39" i="1" s="1"/>
  <c r="W35" i="1"/>
  <c r="R7" i="1"/>
  <c r="AA12" i="1" l="1"/>
  <c r="X11" i="1"/>
  <c r="J23" i="1"/>
  <c r="J38" i="1"/>
  <c r="W11" i="1"/>
  <c r="Y12" i="1"/>
  <c r="Y11" i="1" s="1"/>
  <c r="X27" i="1"/>
  <c r="X41" i="1" s="1"/>
  <c r="X40" i="1"/>
  <c r="Y40" i="1"/>
  <c r="AA26" i="1"/>
  <c r="Z26" i="1"/>
  <c r="Y27" i="1"/>
  <c r="Y41" i="1" s="1"/>
  <c r="R9" i="1"/>
  <c r="R8" i="1"/>
  <c r="V27" i="1"/>
  <c r="V41" i="1" s="1"/>
  <c r="V40" i="1"/>
  <c r="P9" i="1"/>
  <c r="P8" i="1"/>
  <c r="P5" i="1"/>
  <c r="AB43" i="1"/>
  <c r="AE43" i="1" s="1"/>
  <c r="AA43" i="1"/>
  <c r="AD43" i="1" s="1"/>
  <c r="AF43" i="1" s="1"/>
  <c r="AH43" i="1" s="1"/>
  <c r="R5" i="1"/>
  <c r="I6" i="4"/>
  <c r="J5" i="4"/>
  <c r="T7" i="1"/>
  <c r="J19" i="4"/>
  <c r="K18" i="4"/>
  <c r="Z35" i="1"/>
  <c r="AB21" i="1"/>
  <c r="AC21" i="1" s="1"/>
  <c r="I37" i="1"/>
  <c r="Z39" i="1"/>
  <c r="AB25" i="1"/>
  <c r="V7" i="1"/>
  <c r="AA25" i="1"/>
  <c r="AC25" i="1" s="1"/>
  <c r="AC39" i="1" s="1"/>
  <c r="K22" i="1"/>
  <c r="K24" i="1" s="1"/>
  <c r="J36" i="1"/>
  <c r="J34" i="1" s="1"/>
  <c r="J20" i="1"/>
  <c r="Y35" i="1"/>
  <c r="AA21" i="1"/>
  <c r="AC35" i="1" l="1"/>
  <c r="AA40" i="1"/>
  <c r="AA27" i="1"/>
  <c r="AA41" i="1" s="1"/>
  <c r="K23" i="1"/>
  <c r="K38" i="1"/>
  <c r="V9" i="1"/>
  <c r="V8" i="1"/>
  <c r="T9" i="1"/>
  <c r="T8" i="1"/>
  <c r="T5" i="1"/>
  <c r="Z27" i="1"/>
  <c r="Z41" i="1" s="1"/>
  <c r="Z40" i="1"/>
  <c r="AB26" i="1"/>
  <c r="AB27" i="1" s="1"/>
  <c r="AB41" i="1" s="1"/>
  <c r="AC11" i="1"/>
  <c r="AB12" i="1"/>
  <c r="AA11" i="1"/>
  <c r="AC12" i="1"/>
  <c r="AC43" i="1"/>
  <c r="V5" i="1"/>
  <c r="J6" i="4"/>
  <c r="K5" i="4"/>
  <c r="X7" i="1"/>
  <c r="K19" i="4"/>
  <c r="L18" i="4"/>
  <c r="AB35" i="1"/>
  <c r="AE21" i="1"/>
  <c r="J37" i="1"/>
  <c r="AB39" i="1"/>
  <c r="AE25" i="1"/>
  <c r="AA35" i="1"/>
  <c r="AD21" i="1"/>
  <c r="K36" i="1"/>
  <c r="K34" i="1" s="1"/>
  <c r="L22" i="1"/>
  <c r="L24" i="1" s="1"/>
  <c r="K20" i="1"/>
  <c r="AA39" i="1"/>
  <c r="AD25" i="1"/>
  <c r="AF25" i="1" s="1"/>
  <c r="AF39" i="1" s="1"/>
  <c r="AD26" i="1" l="1"/>
  <c r="AC26" i="1"/>
  <c r="AC40" i="1" s="1"/>
  <c r="AB40" i="1"/>
  <c r="L23" i="1"/>
  <c r="L38" i="1"/>
  <c r="AD12" i="1"/>
  <c r="AB11" i="1"/>
  <c r="AG21" i="1"/>
  <c r="AI21" i="1" s="1"/>
  <c r="AF21" i="1"/>
  <c r="AF35" i="1"/>
  <c r="X9" i="1"/>
  <c r="X5" i="1"/>
  <c r="X8" i="1"/>
  <c r="AG43" i="1"/>
  <c r="K6" i="4"/>
  <c r="L5" i="4"/>
  <c r="Z7" i="1"/>
  <c r="M18" i="4"/>
  <c r="L19" i="4"/>
  <c r="AD35" i="1"/>
  <c r="AH21" i="1"/>
  <c r="AH35" i="1" s="1"/>
  <c r="AE35" i="1"/>
  <c r="AE39" i="1"/>
  <c r="AH25" i="1"/>
  <c r="AH39" i="1" s="1"/>
  <c r="K37" i="1"/>
  <c r="AD39" i="1"/>
  <c r="AG25" i="1"/>
  <c r="L20" i="1"/>
  <c r="L36" i="1"/>
  <c r="L34" i="1" s="1"/>
  <c r="M22" i="1"/>
  <c r="M24" i="1" s="1"/>
  <c r="AI43" i="1" l="1"/>
  <c r="AJ43" i="1" s="1"/>
  <c r="AE12" i="1"/>
  <c r="AD11" i="1"/>
  <c r="Z9" i="1"/>
  <c r="Z8" i="1"/>
  <c r="Z5" i="1"/>
  <c r="M23" i="1"/>
  <c r="M38" i="1"/>
  <c r="AD40" i="1"/>
  <c r="AE26" i="1"/>
  <c r="AD27" i="1"/>
  <c r="AD41" i="1" s="1"/>
  <c r="AC27" i="1"/>
  <c r="AC41" i="1" s="1"/>
  <c r="L6" i="4"/>
  <c r="M5" i="4"/>
  <c r="AA7" i="1"/>
  <c r="AB7" i="1"/>
  <c r="AB5" i="1" s="1"/>
  <c r="N18" i="4"/>
  <c r="M19" i="4"/>
  <c r="N22" i="1"/>
  <c r="N24" i="1" s="1"/>
  <c r="M20" i="1"/>
  <c r="M36" i="1"/>
  <c r="M34" i="1" s="1"/>
  <c r="AG35" i="1"/>
  <c r="AI25" i="1"/>
  <c r="AG39" i="1"/>
  <c r="L37" i="1"/>
  <c r="AE40" i="1" l="1"/>
  <c r="AF26" i="1"/>
  <c r="AE27" i="1"/>
  <c r="AE41" i="1" s="1"/>
  <c r="AF12" i="1"/>
  <c r="AE11" i="1"/>
  <c r="N23" i="1"/>
  <c r="N38" i="1"/>
  <c r="AA9" i="1"/>
  <c r="AA8" i="1"/>
  <c r="AA5" i="1"/>
  <c r="N5" i="4"/>
  <c r="M6" i="4"/>
  <c r="Q22" i="1"/>
  <c r="AB8" i="1"/>
  <c r="AB9" i="1" s="1"/>
  <c r="AD7" i="1"/>
  <c r="AD5" i="1" s="1"/>
  <c r="AC7" i="1"/>
  <c r="O18" i="4"/>
  <c r="N19" i="4"/>
  <c r="AJ21" i="1"/>
  <c r="AJ35" i="1" s="1"/>
  <c r="AI35" i="1"/>
  <c r="AI39" i="1"/>
  <c r="AJ25" i="1"/>
  <c r="AJ39" i="1" s="1"/>
  <c r="N20" i="1"/>
  <c r="O22" i="1"/>
  <c r="O24" i="1" s="1"/>
  <c r="N36" i="1"/>
  <c r="N34" i="1" s="1"/>
  <c r="M37" i="1"/>
  <c r="T22" i="1" l="1"/>
  <c r="T36" i="1" s="1"/>
  <c r="T34" i="1" s="1"/>
  <c r="R22" i="1"/>
  <c r="R24" i="1" s="1"/>
  <c r="AF11" i="1"/>
  <c r="AG12" i="1"/>
  <c r="O38" i="1"/>
  <c r="P22" i="1"/>
  <c r="P24" i="1" s="1"/>
  <c r="O23" i="1"/>
  <c r="AC9" i="1"/>
  <c r="AC5" i="1"/>
  <c r="AG26" i="1"/>
  <c r="AF40" i="1"/>
  <c r="AF27" i="1"/>
  <c r="AF41" i="1" s="1"/>
  <c r="AH26" i="1"/>
  <c r="Q23" i="1"/>
  <c r="Q37" i="1" s="1"/>
  <c r="Q36" i="1"/>
  <c r="O5" i="4"/>
  <c r="N6" i="4"/>
  <c r="AC8" i="1"/>
  <c r="AD8" i="1"/>
  <c r="AD9" i="1" s="1"/>
  <c r="AE7" i="1"/>
  <c r="AE5" i="1" s="1"/>
  <c r="P18" i="4"/>
  <c r="O19" i="4"/>
  <c r="O20" i="1"/>
  <c r="O36" i="1"/>
  <c r="O34" i="1" s="1"/>
  <c r="Q20" i="1"/>
  <c r="V22" i="1"/>
  <c r="N37" i="1"/>
  <c r="P23" i="1" l="1"/>
  <c r="P37" i="1" s="1"/>
  <c r="P38" i="1"/>
  <c r="AH40" i="1"/>
  <c r="AH27" i="1"/>
  <c r="AH41" i="1" s="1"/>
  <c r="AG11" i="1"/>
  <c r="AH12" i="1"/>
  <c r="V36" i="1"/>
  <c r="V34" i="1" s="1"/>
  <c r="V23" i="1"/>
  <c r="V20" i="1"/>
  <c r="P20" i="1"/>
  <c r="P36" i="1"/>
  <c r="P34" i="1" s="1"/>
  <c r="AI26" i="1"/>
  <c r="AG40" i="1"/>
  <c r="AG27" i="1"/>
  <c r="AG41" i="1" s="1"/>
  <c r="R38" i="1"/>
  <c r="R23" i="1"/>
  <c r="R37" i="1" s="1"/>
  <c r="S22" i="1"/>
  <c r="S24" i="1" s="1"/>
  <c r="R36" i="1"/>
  <c r="T23" i="1"/>
  <c r="T20" i="1"/>
  <c r="Q24" i="1"/>
  <c r="Q38" i="1" s="1"/>
  <c r="P5" i="4"/>
  <c r="O6" i="4"/>
  <c r="AE8" i="1"/>
  <c r="AE9" i="1" s="1"/>
  <c r="AF7" i="1"/>
  <c r="AF5" i="1" s="1"/>
  <c r="P19" i="4"/>
  <c r="Q18" i="4"/>
  <c r="R20" i="1"/>
  <c r="Q34" i="1"/>
  <c r="R34" i="1"/>
  <c r="O37" i="1"/>
  <c r="T24" i="1" l="1"/>
  <c r="T38" i="1" s="1"/>
  <c r="T37" i="1"/>
  <c r="V37" i="1"/>
  <c r="V24" i="1"/>
  <c r="V38" i="1" s="1"/>
  <c r="AI12" i="1"/>
  <c r="AH11" i="1"/>
  <c r="AI40" i="1"/>
  <c r="AJ26" i="1"/>
  <c r="AI27" i="1"/>
  <c r="AI41" i="1" s="1"/>
  <c r="S23" i="1"/>
  <c r="S37" i="1" s="1"/>
  <c r="S38" i="1"/>
  <c r="S36" i="1"/>
  <c r="Q5" i="4"/>
  <c r="P6" i="4"/>
  <c r="AF8" i="1"/>
  <c r="AF9" i="1" s="1"/>
  <c r="AG7" i="1"/>
  <c r="AG5" i="1" s="1"/>
  <c r="Q19" i="4"/>
  <c r="R18" i="4"/>
  <c r="U22" i="1"/>
  <c r="S34" i="1"/>
  <c r="S20" i="1"/>
  <c r="U36" i="1" l="1"/>
  <c r="U24" i="1"/>
  <c r="AJ40" i="1"/>
  <c r="AJ27" i="1"/>
  <c r="AJ41" i="1" s="1"/>
  <c r="AI11" i="1"/>
  <c r="AJ12" i="1"/>
  <c r="X22" i="1"/>
  <c r="X20" i="1" s="1"/>
  <c r="U38" i="1"/>
  <c r="U23" i="1"/>
  <c r="U37" i="1" s="1"/>
  <c r="U34" i="1"/>
  <c r="Q6" i="4"/>
  <c r="R5" i="4"/>
  <c r="AG8" i="1"/>
  <c r="AG9" i="1" s="1"/>
  <c r="R19" i="4"/>
  <c r="S18" i="4"/>
  <c r="W22" i="1"/>
  <c r="W24" i="1" s="1"/>
  <c r="U20" i="1"/>
  <c r="X36" i="1" l="1"/>
  <c r="X34" i="1" s="1"/>
  <c r="X23" i="1"/>
  <c r="X37" i="1" s="1"/>
  <c r="AK12" i="1"/>
  <c r="AK11" i="1" s="1"/>
  <c r="AJ11" i="1"/>
  <c r="W38" i="1"/>
  <c r="W23" i="1"/>
  <c r="W37" i="1" s="1"/>
  <c r="S5" i="4"/>
  <c r="R6" i="4"/>
  <c r="S19" i="4"/>
  <c r="T18" i="4"/>
  <c r="W20" i="1"/>
  <c r="W36" i="1"/>
  <c r="W34" i="1" s="1"/>
  <c r="Y22" i="1"/>
  <c r="Y24" i="1" s="1"/>
  <c r="X24" i="1" l="1"/>
  <c r="X38" i="1" s="1"/>
  <c r="Y23" i="1"/>
  <c r="Y37" i="1" s="1"/>
  <c r="Y38" i="1"/>
  <c r="S6" i="4"/>
  <c r="T5" i="4"/>
  <c r="T19" i="4"/>
  <c r="U18" i="4"/>
  <c r="Z22" i="1"/>
  <c r="Y36" i="1"/>
  <c r="Y34" i="1" s="1"/>
  <c r="Y20" i="1"/>
  <c r="Z23" i="1" l="1"/>
  <c r="Z37" i="1" s="1"/>
  <c r="Z24" i="1"/>
  <c r="Z38" i="1" s="1"/>
  <c r="U5" i="4"/>
  <c r="T6" i="4"/>
  <c r="V18" i="4"/>
  <c r="U19" i="4"/>
  <c r="Z36" i="1"/>
  <c r="Z34" i="1" s="1"/>
  <c r="Z20" i="1"/>
  <c r="AA22" i="1"/>
  <c r="AC22" i="1" l="1"/>
  <c r="AA23" i="1"/>
  <c r="AA37" i="1" s="1"/>
  <c r="AA24" i="1"/>
  <c r="AA38" i="1" s="1"/>
  <c r="U6" i="4"/>
  <c r="V5" i="4"/>
  <c r="AC36" i="1"/>
  <c r="AC34" i="1" s="1"/>
  <c r="AC23" i="1"/>
  <c r="W18" i="4"/>
  <c r="V19" i="4"/>
  <c r="AA20" i="1"/>
  <c r="AA36" i="1"/>
  <c r="AA34" i="1" s="1"/>
  <c r="AB22" i="1"/>
  <c r="AC24" i="1" l="1"/>
  <c r="AC38" i="1" s="1"/>
  <c r="AC37" i="1"/>
  <c r="AB24" i="1"/>
  <c r="AB38" i="1" s="1"/>
  <c r="AB23" i="1"/>
  <c r="AB37" i="1" s="1"/>
  <c r="W5" i="4"/>
  <c r="V6" i="4"/>
  <c r="AC20" i="1"/>
  <c r="X18" i="4"/>
  <c r="W19" i="4"/>
  <c r="AB20" i="1"/>
  <c r="AB36" i="1"/>
  <c r="AB34" i="1" s="1"/>
  <c r="AD22" i="1"/>
  <c r="AF22" i="1" l="1"/>
  <c r="AD24" i="1"/>
  <c r="AD38" i="1" s="1"/>
  <c r="AD23" i="1"/>
  <c r="AD37" i="1" s="1"/>
  <c r="X5" i="4"/>
  <c r="W6" i="4"/>
  <c r="AF23" i="1"/>
  <c r="AF37" i="1" s="1"/>
  <c r="AF36" i="1"/>
  <c r="AF34" i="1" s="1"/>
  <c r="AF20" i="1"/>
  <c r="Y18" i="4"/>
  <c r="X19" i="4"/>
  <c r="AD20" i="1"/>
  <c r="AD36" i="1"/>
  <c r="AD34" i="1" s="1"/>
  <c r="AE22" i="1"/>
  <c r="X6" i="4" l="1"/>
  <c r="Y5" i="4"/>
  <c r="AE23" i="1"/>
  <c r="AE37" i="1" s="1"/>
  <c r="AE24" i="1"/>
  <c r="AE38" i="1" s="1"/>
  <c r="AF24" i="1"/>
  <c r="AF38" i="1" s="1"/>
  <c r="Y19" i="4"/>
  <c r="Z18" i="4"/>
  <c r="AG22" i="1"/>
  <c r="AE36" i="1"/>
  <c r="AE34" i="1" s="1"/>
  <c r="AE20" i="1"/>
  <c r="Z5" i="4" l="1"/>
  <c r="Y6" i="4"/>
  <c r="AG24" i="1"/>
  <c r="AG38" i="1" s="1"/>
  <c r="AG23" i="1"/>
  <c r="AG37" i="1" s="1"/>
  <c r="Z19" i="4"/>
  <c r="AA18" i="4"/>
  <c r="AG36" i="1"/>
  <c r="AG34" i="1" s="1"/>
  <c r="AH22" i="1"/>
  <c r="AG20" i="1"/>
  <c r="AA5" i="4" l="1"/>
  <c r="AA6" i="4" s="1"/>
  <c r="Z6" i="4"/>
  <c r="AH24" i="1"/>
  <c r="AH38" i="1" s="1"/>
  <c r="AH23" i="1"/>
  <c r="AH37" i="1" s="1"/>
  <c r="AA19" i="4"/>
  <c r="AB18" i="4"/>
  <c r="AH20" i="1"/>
  <c r="AI22" i="1"/>
  <c r="AH36" i="1"/>
  <c r="AH34" i="1" s="1"/>
  <c r="AI24" i="1" l="1"/>
  <c r="AI38" i="1" s="1"/>
  <c r="AI23" i="1"/>
  <c r="AI37" i="1" s="1"/>
  <c r="AC18" i="4"/>
  <c r="AB19" i="4"/>
  <c r="AJ22" i="1"/>
  <c r="AI36" i="1"/>
  <c r="AI34" i="1" s="1"/>
  <c r="AI20" i="1"/>
  <c r="AJ24" i="1" l="1"/>
  <c r="AJ38" i="1" s="1"/>
  <c r="AJ23" i="1"/>
  <c r="AJ37" i="1" s="1"/>
  <c r="AC19" i="4"/>
  <c r="AD18" i="4"/>
  <c r="AJ36" i="1"/>
  <c r="AJ34" i="1" s="1"/>
  <c r="AJ20" i="1"/>
  <c r="AD19" i="4" l="1"/>
  <c r="AE18" i="4"/>
  <c r="AE19" i="4" l="1"/>
  <c r="AF18" i="4"/>
  <c r="AF19" i="4" l="1"/>
</calcChain>
</file>

<file path=xl/sharedStrings.xml><?xml version="1.0" encoding="utf-8"?>
<sst xmlns="http://schemas.openxmlformats.org/spreadsheetml/2006/main" count="241" uniqueCount="208">
  <si>
    <t>Lingkar Kerah</t>
  </si>
  <si>
    <t>Lebar Bahu</t>
  </si>
  <si>
    <t>Panjang Baju</t>
  </si>
  <si>
    <t>Panjang Lengan</t>
  </si>
  <si>
    <t>Lingkar Lengan</t>
  </si>
  <si>
    <t>Lingkar Kerung Lengan</t>
  </si>
  <si>
    <t>Keterangan</t>
  </si>
  <si>
    <t>No.</t>
  </si>
  <si>
    <t>Lingkar Dada (Chest)</t>
  </si>
  <si>
    <t>Lingkar Perut (Waist)</t>
  </si>
  <si>
    <t>Lingkar Pinggul (Hips)</t>
  </si>
  <si>
    <t>Lingkar Pinggang</t>
  </si>
  <si>
    <t>WANITA - NON HIJAB</t>
  </si>
  <si>
    <t>WANITA - HIJAB</t>
  </si>
  <si>
    <t>Lingkar Lengan Atas</t>
  </si>
  <si>
    <t>Lingkar Manset</t>
  </si>
  <si>
    <t>CELANA WANITA</t>
  </si>
  <si>
    <t>Pinggang</t>
  </si>
  <si>
    <t>Panjang Celana</t>
  </si>
  <si>
    <t>Lingkar Pinggul</t>
  </si>
  <si>
    <t>Lingkar Selangkang</t>
  </si>
  <si>
    <t>Lingkar Paha</t>
  </si>
  <si>
    <t>Lingkar Lutut</t>
  </si>
  <si>
    <t>Lingkar Kaki</t>
  </si>
  <si>
    <t>LD_82_P</t>
  </si>
  <si>
    <t>LD_84_P</t>
  </si>
  <si>
    <t>LD_86_P</t>
  </si>
  <si>
    <t>LD_92_P</t>
  </si>
  <si>
    <t>LD_88_P</t>
  </si>
  <si>
    <t>LD_90_P</t>
  </si>
  <si>
    <t>LD_94_P</t>
  </si>
  <si>
    <t>LD_96_P</t>
  </si>
  <si>
    <t>LD_98_P</t>
  </si>
  <si>
    <t>LD_100_P</t>
  </si>
  <si>
    <t>LD_102_P</t>
  </si>
  <si>
    <t>LD_104_P</t>
  </si>
  <si>
    <t>LD_106_P</t>
  </si>
  <si>
    <t>LD_108_P</t>
  </si>
  <si>
    <t>LD_110_P</t>
  </si>
  <si>
    <t>LD_112_P</t>
  </si>
  <si>
    <t>LD_114_P</t>
  </si>
  <si>
    <t>LD_116_P</t>
  </si>
  <si>
    <t>LD_120_P</t>
  </si>
  <si>
    <t>LD_118_P</t>
  </si>
  <si>
    <t>LD_124_PG</t>
  </si>
  <si>
    <t>LD_136_PG</t>
  </si>
  <si>
    <t>LD_140_PG</t>
  </si>
  <si>
    <t>LD_144_PG</t>
  </si>
  <si>
    <t>LD_148_PG</t>
  </si>
  <si>
    <t>LD_82_W</t>
  </si>
  <si>
    <t>LD_84_W</t>
  </si>
  <si>
    <t>LD_86_W</t>
  </si>
  <si>
    <t>LD_88_W</t>
  </si>
  <si>
    <t>LD_90_W</t>
  </si>
  <si>
    <t>LD_92_W</t>
  </si>
  <si>
    <t>LD_94_W</t>
  </si>
  <si>
    <t>LD_96_W</t>
  </si>
  <si>
    <t>LD_98_W</t>
  </si>
  <si>
    <t>LD_100_W</t>
  </si>
  <si>
    <t>LD_102_W</t>
  </si>
  <si>
    <t>LD_104_W</t>
  </si>
  <si>
    <t>LD_106_W</t>
  </si>
  <si>
    <t>LD_108_W</t>
  </si>
  <si>
    <t>LD_110_W</t>
  </si>
  <si>
    <t>LD_112_W</t>
  </si>
  <si>
    <t>LD_94_WH</t>
  </si>
  <si>
    <t>LD_96_WH</t>
  </si>
  <si>
    <t>LD_98_WH</t>
  </si>
  <si>
    <t>LD_100_WH</t>
  </si>
  <si>
    <t>LD_102_WH</t>
  </si>
  <si>
    <t>LD_104_WH</t>
  </si>
  <si>
    <t>LD_106_WH</t>
  </si>
  <si>
    <t>LD_108_WH</t>
  </si>
  <si>
    <t>LD_114_W</t>
  </si>
  <si>
    <t>LD_110_WH</t>
  </si>
  <si>
    <t>LD_116_W</t>
  </si>
  <si>
    <t>LD_112_WH</t>
  </si>
  <si>
    <t>LD_114_WH</t>
  </si>
  <si>
    <t>LD_116_WH</t>
  </si>
  <si>
    <t>LD_118_W</t>
  </si>
  <si>
    <t>LD_118_WH</t>
  </si>
  <si>
    <t>LD_120_W</t>
  </si>
  <si>
    <t>LD_120_WH</t>
  </si>
  <si>
    <t>LD_132_W</t>
  </si>
  <si>
    <t>LD_128_W</t>
  </si>
  <si>
    <t>LD_130_W</t>
  </si>
  <si>
    <t>30_W</t>
  </si>
  <si>
    <t>29_W</t>
  </si>
  <si>
    <t>32_W</t>
  </si>
  <si>
    <t>27_W</t>
  </si>
  <si>
    <t>31_W</t>
  </si>
  <si>
    <t>33_W</t>
  </si>
  <si>
    <t>34_W</t>
  </si>
  <si>
    <t>35_W</t>
  </si>
  <si>
    <t>36_W</t>
  </si>
  <si>
    <t>37_W</t>
  </si>
  <si>
    <t>38_W</t>
  </si>
  <si>
    <t>39_W</t>
  </si>
  <si>
    <t>40_W</t>
  </si>
  <si>
    <t>41_W</t>
  </si>
  <si>
    <t>42_W</t>
  </si>
  <si>
    <t>43_W</t>
  </si>
  <si>
    <t>44_W</t>
  </si>
  <si>
    <t>45_W</t>
  </si>
  <si>
    <t>46_W</t>
  </si>
  <si>
    <t>47_W</t>
  </si>
  <si>
    <t>48_W</t>
  </si>
  <si>
    <t>27_P</t>
  </si>
  <si>
    <t>28_P</t>
  </si>
  <si>
    <t>29_P</t>
  </si>
  <si>
    <t>30_P</t>
  </si>
  <si>
    <t>31_P</t>
  </si>
  <si>
    <t>32_P</t>
  </si>
  <si>
    <t>33_P</t>
  </si>
  <si>
    <t>34_P</t>
  </si>
  <si>
    <t>35_P</t>
  </si>
  <si>
    <t>36_P</t>
  </si>
  <si>
    <t>37_P</t>
  </si>
  <si>
    <t>38_P</t>
  </si>
  <si>
    <t>39_P</t>
  </si>
  <si>
    <t>40_P</t>
  </si>
  <si>
    <t>41_P</t>
  </si>
  <si>
    <t>42_P</t>
  </si>
  <si>
    <t>43_P</t>
  </si>
  <si>
    <t>44_P</t>
  </si>
  <si>
    <t>45_P</t>
  </si>
  <si>
    <t>46_P</t>
  </si>
  <si>
    <t>47_P</t>
  </si>
  <si>
    <t>48_P</t>
  </si>
  <si>
    <t>RAWAN UKURAN SEGINI</t>
  </si>
  <si>
    <t>LD_114_PG</t>
  </si>
  <si>
    <t>LD_112_PG</t>
  </si>
  <si>
    <t>LD_110_PG</t>
  </si>
  <si>
    <t>LD_108_PG</t>
  </si>
  <si>
    <t>LD_122_W</t>
  </si>
  <si>
    <t>LD_124_W</t>
  </si>
  <si>
    <t>28_W</t>
  </si>
  <si>
    <t>POLA SIZE PRIA</t>
  </si>
  <si>
    <t>POLA SIZE WANITA - NON HIJAB</t>
  </si>
  <si>
    <t>POLA SIZE WANITA - HIJAB</t>
  </si>
  <si>
    <t>14 - 1</t>
  </si>
  <si>
    <t>14 - 2</t>
  </si>
  <si>
    <t>14 - 3</t>
  </si>
  <si>
    <t>14,5 - 1</t>
  </si>
  <si>
    <t>14,5 - 2</t>
  </si>
  <si>
    <t>14,5 - 3</t>
  </si>
  <si>
    <t>15 - 1</t>
  </si>
  <si>
    <t>15 - 2</t>
  </si>
  <si>
    <t>15 - 3</t>
  </si>
  <si>
    <t>16 - 1</t>
  </si>
  <si>
    <t>15,5 - 1</t>
  </si>
  <si>
    <t>15,5 - 2</t>
  </si>
  <si>
    <t>15,5 - 3</t>
  </si>
  <si>
    <t>16 - 2</t>
  </si>
  <si>
    <t>16 - 3</t>
  </si>
  <si>
    <t>16,5 - 1</t>
  </si>
  <si>
    <t>16,5 - 2</t>
  </si>
  <si>
    <t>17 - 1</t>
  </si>
  <si>
    <t>17 - 2</t>
  </si>
  <si>
    <t>17,5 - 1</t>
  </si>
  <si>
    <t>17,5 - 2</t>
  </si>
  <si>
    <t>18 - 1</t>
  </si>
  <si>
    <t>18 - 4</t>
  </si>
  <si>
    <t>26_W</t>
  </si>
  <si>
    <t>LD_126_W</t>
  </si>
  <si>
    <t>LD_140_W</t>
  </si>
  <si>
    <t>LD_90_WH</t>
  </si>
  <si>
    <t>LD_92_WH</t>
  </si>
  <si>
    <t>49_W</t>
  </si>
  <si>
    <t>50_W</t>
  </si>
  <si>
    <t>51_W</t>
  </si>
  <si>
    <t>49_P</t>
  </si>
  <si>
    <t>50_P</t>
  </si>
  <si>
    <t>51_P</t>
  </si>
  <si>
    <t>52_P</t>
  </si>
  <si>
    <t>53_P</t>
  </si>
  <si>
    <t>54_P</t>
  </si>
  <si>
    <t>55_P</t>
  </si>
  <si>
    <t>52_W</t>
  </si>
  <si>
    <t>53_W</t>
  </si>
  <si>
    <t>54_W</t>
  </si>
  <si>
    <t>LD_128_PG</t>
  </si>
  <si>
    <t>LD_132_PG</t>
  </si>
  <si>
    <t>LD_120_PG</t>
  </si>
  <si>
    <t>LD_116_PG</t>
  </si>
  <si>
    <t>LD_122_WH</t>
  </si>
  <si>
    <t>LD_124_WH</t>
  </si>
  <si>
    <t>LD_126_WH</t>
  </si>
  <si>
    <t>LD_128_WH</t>
  </si>
  <si>
    <t>LD_130_WH</t>
  </si>
  <si>
    <t>LD_132_WH</t>
  </si>
  <si>
    <t>LD_124_P</t>
  </si>
  <si>
    <t>LD_136_W</t>
  </si>
  <si>
    <t>LD_136_WH</t>
  </si>
  <si>
    <t>LD_140_WH</t>
  </si>
  <si>
    <t>LD_116_W_PG</t>
  </si>
  <si>
    <t>LD_116_WH_PG</t>
  </si>
  <si>
    <t>LD_124_WH_PG</t>
  </si>
  <si>
    <t>LD_124_W_PG</t>
  </si>
  <si>
    <t>LD_128_W_PG</t>
  </si>
  <si>
    <t>LD_128_WH_PG</t>
  </si>
  <si>
    <t>LD_108_W_PG</t>
  </si>
  <si>
    <t>LD_108_WH_PG</t>
  </si>
  <si>
    <t>56_P</t>
  </si>
  <si>
    <t>LD_114_W_PG</t>
  </si>
  <si>
    <t>LD_114_WH_PG</t>
  </si>
  <si>
    <t>LD_112_W_PG</t>
  </si>
  <si>
    <t>LD_112_WH_PG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</si>
</sst>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EE8F0"/>
        <bgColor indexed="64"/>
      </patternFill>
    </fill>
    <fill>
      <patternFill patternType="solid">
        <fgColor rgb="FFFFD9FA"/>
        <bgColor indexed="64"/>
      </patternFill>
    </fill>
    <fill>
      <patternFill patternType="solid">
        <fgColor rgb="FFF0E6FE"/>
        <bgColor indexed="64"/>
      </patternFill>
    </fill>
    <fill>
      <patternFill patternType="solid">
        <fgColor rgb="FFEBDEFE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ED2D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13" borderId="2" xfId="0" applyFont="1" applyFill="1" applyBorder="1" applyAlignment="1">
      <alignment vertical="center"/>
    </xf>
    <xf numFmtId="0" fontId="1" fillId="13" borderId="4" xfId="0" applyFont="1" applyFill="1" applyBorder="1" applyAlignment="1">
      <alignment vertical="center"/>
    </xf>
    <xf numFmtId="0" fontId="1" fillId="13" borderId="5" xfId="0" applyFont="1" applyFill="1" applyBorder="1" applyAlignment="1">
      <alignment vertical="center"/>
    </xf>
    <xf numFmtId="0" fontId="1" fillId="13" borderId="5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1" fillId="13" borderId="6" xfId="0" applyFont="1" applyFill="1" applyBorder="1" applyAlignment="1">
      <alignment vertical="center"/>
    </xf>
    <xf numFmtId="0" fontId="1" fillId="13" borderId="3" xfId="0" applyFont="1" applyFill="1" applyBorder="1" applyAlignment="1">
      <alignment vertical="center"/>
    </xf>
    <xf numFmtId="0" fontId="3" fillId="13" borderId="1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9" fillId="13" borderId="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" fontId="0" fillId="3" borderId="1" xfId="0" applyNumberForma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E8F0"/>
      <color rgb="FFFF99FF"/>
      <color rgb="FFF0E6FE"/>
      <color rgb="FFFFD9FA"/>
      <color rgb="FFCCFFCC"/>
      <color rgb="FFEBDEFE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7804-64A7-4132-808B-020A8B6A2BE1}">
  <dimension ref="A2:AK44"/>
  <sheetViews>
    <sheetView tabSelected="1" zoomScale="79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35" sqref="J35"/>
    </sheetView>
  </sheetViews>
  <sheetFormatPr defaultColWidth="8.73046875" defaultRowHeight="14.25" x14ac:dyDescent="0.45"/>
  <cols>
    <col min="1" max="1" width="8.73046875" style="1"/>
    <col min="2" max="2" width="26.73046875" style="5" customWidth="1"/>
    <col min="3" max="4" width="12.796875" style="1" hidden="1" customWidth="1"/>
    <col min="5" max="5" width="13.19921875" style="1" hidden="1" customWidth="1"/>
    <col min="6" max="6" width="11.59765625" style="1" hidden="1" customWidth="1"/>
    <col min="7" max="8" width="11.59765625" style="1" customWidth="1"/>
    <col min="9" max="9" width="12.19921875" style="1" customWidth="1"/>
    <col min="10" max="10" width="12.06640625" style="1" customWidth="1"/>
    <col min="11" max="12" width="11.59765625" style="1" customWidth="1"/>
    <col min="13" max="14" width="13.796875" style="1" customWidth="1"/>
    <col min="15" max="16" width="11.53125" style="1" customWidth="1"/>
    <col min="17" max="17" width="15.33203125" style="1" customWidth="1"/>
    <col min="18" max="19" width="13.796875" style="1" customWidth="1"/>
    <col min="20" max="20" width="13.46484375" style="1" customWidth="1"/>
    <col min="21" max="21" width="13" style="1" bestFit="1" customWidth="1"/>
    <col min="22" max="22" width="13.46484375" style="1" customWidth="1"/>
    <col min="23" max="23" width="12" style="1" customWidth="1"/>
    <col min="24" max="24" width="12.796875" style="1" customWidth="1"/>
    <col min="25" max="26" width="13.06640625" style="1" customWidth="1"/>
    <col min="27" max="28" width="14.265625" style="1" customWidth="1"/>
    <col min="29" max="29" width="16.06640625" style="1" customWidth="1"/>
    <col min="30" max="30" width="12.9296875" style="1" customWidth="1"/>
    <col min="31" max="32" width="12.73046875" style="1" customWidth="1"/>
    <col min="33" max="33" width="11.33203125" style="1" hidden="1" customWidth="1"/>
    <col min="34" max="35" width="13.9296875" style="1" customWidth="1"/>
    <col min="36" max="36" width="13" style="1" customWidth="1"/>
    <col min="37" max="37" width="13.46484375" style="1" customWidth="1"/>
    <col min="38" max="16384" width="8.73046875" style="1"/>
  </cols>
  <sheetData>
    <row r="2" spans="1:37" s="2" customFormat="1" ht="15.75" x14ac:dyDescent="0.45">
      <c r="A2" s="65" t="s">
        <v>7</v>
      </c>
      <c r="B2" s="68" t="s">
        <v>137</v>
      </c>
      <c r="C2" s="69"/>
      <c r="D2" s="49"/>
      <c r="E2" s="49"/>
      <c r="F2" s="49"/>
      <c r="G2" s="49"/>
      <c r="H2" s="50" t="s">
        <v>140</v>
      </c>
      <c r="I2" s="50" t="s">
        <v>141</v>
      </c>
      <c r="J2" s="50" t="s">
        <v>142</v>
      </c>
      <c r="K2" s="50" t="s">
        <v>143</v>
      </c>
      <c r="L2" s="50" t="s">
        <v>144</v>
      </c>
      <c r="M2" s="50" t="s">
        <v>145</v>
      </c>
      <c r="N2" s="50" t="s">
        <v>146</v>
      </c>
      <c r="O2" s="50" t="s">
        <v>147</v>
      </c>
      <c r="P2" s="50" t="s">
        <v>148</v>
      </c>
      <c r="Q2" s="49"/>
      <c r="R2" s="50" t="s">
        <v>150</v>
      </c>
      <c r="S2" s="49"/>
      <c r="T2" s="50" t="s">
        <v>151</v>
      </c>
      <c r="U2" s="49"/>
      <c r="V2" s="50" t="s">
        <v>152</v>
      </c>
      <c r="W2" s="49"/>
      <c r="X2" s="50" t="s">
        <v>149</v>
      </c>
      <c r="Y2" s="49"/>
      <c r="Z2" s="50" t="s">
        <v>153</v>
      </c>
      <c r="AA2" s="50" t="s">
        <v>154</v>
      </c>
      <c r="AB2" s="50" t="s">
        <v>155</v>
      </c>
      <c r="AC2" s="50"/>
      <c r="AD2" s="50" t="s">
        <v>156</v>
      </c>
      <c r="AE2" s="50" t="s">
        <v>157</v>
      </c>
      <c r="AF2" s="50" t="s">
        <v>158</v>
      </c>
      <c r="AG2" s="50" t="s">
        <v>159</v>
      </c>
      <c r="AH2" s="50" t="s">
        <v>160</v>
      </c>
      <c r="AI2" s="50" t="s">
        <v>161</v>
      </c>
      <c r="AJ2" s="50" t="s">
        <v>162</v>
      </c>
      <c r="AK2" s="49"/>
    </row>
    <row r="3" spans="1:37" s="2" customFormat="1" ht="15.75" x14ac:dyDescent="0.45">
      <c r="A3" s="66"/>
      <c r="B3" s="52" t="s">
        <v>6</v>
      </c>
      <c r="C3" s="62" t="s">
        <v>129</v>
      </c>
      <c r="D3" s="63"/>
      <c r="E3" s="63"/>
      <c r="F3" s="64"/>
      <c r="G3" s="20">
        <v>1</v>
      </c>
      <c r="H3" s="20">
        <v>2</v>
      </c>
      <c r="I3" s="20">
        <v>3</v>
      </c>
      <c r="J3" s="20">
        <v>4</v>
      </c>
      <c r="K3" s="20">
        <v>5</v>
      </c>
      <c r="L3" s="20">
        <v>6</v>
      </c>
      <c r="M3" s="20">
        <v>7</v>
      </c>
      <c r="N3" s="20">
        <v>8</v>
      </c>
      <c r="O3" s="20">
        <v>9</v>
      </c>
      <c r="P3" s="20">
        <v>10</v>
      </c>
      <c r="Q3" s="20">
        <v>11</v>
      </c>
      <c r="R3" s="20">
        <v>12</v>
      </c>
      <c r="S3" s="20">
        <v>13</v>
      </c>
      <c r="T3" s="20">
        <v>14</v>
      </c>
      <c r="U3" s="20">
        <v>15</v>
      </c>
      <c r="V3" s="20">
        <v>16</v>
      </c>
      <c r="W3" s="20">
        <v>17</v>
      </c>
      <c r="X3" s="20">
        <v>18</v>
      </c>
      <c r="Y3" s="20">
        <v>19</v>
      </c>
      <c r="Z3" s="20">
        <v>20</v>
      </c>
      <c r="AA3" s="20">
        <v>21</v>
      </c>
      <c r="AB3" s="20">
        <v>22</v>
      </c>
      <c r="AC3" s="20">
        <v>23</v>
      </c>
      <c r="AD3" s="20">
        <v>24</v>
      </c>
      <c r="AE3" s="20">
        <v>25</v>
      </c>
      <c r="AF3" s="20">
        <v>26</v>
      </c>
      <c r="AG3" s="20">
        <v>27</v>
      </c>
      <c r="AH3" s="20">
        <v>28</v>
      </c>
      <c r="AI3" s="20">
        <v>29</v>
      </c>
      <c r="AJ3" s="20">
        <v>30</v>
      </c>
      <c r="AK3" s="20">
        <v>31</v>
      </c>
    </row>
    <row r="4" spans="1:37" s="8" customFormat="1" ht="18.75" customHeight="1" x14ac:dyDescent="0.45">
      <c r="A4" s="67"/>
      <c r="B4" s="51"/>
      <c r="C4" s="7" t="s">
        <v>24</v>
      </c>
      <c r="D4" s="7" t="s">
        <v>25</v>
      </c>
      <c r="E4" s="7" t="s">
        <v>26</v>
      </c>
      <c r="F4" s="7" t="s">
        <v>28</v>
      </c>
      <c r="G4" s="7" t="s">
        <v>29</v>
      </c>
      <c r="H4" s="7" t="s">
        <v>27</v>
      </c>
      <c r="I4" s="7" t="s">
        <v>30</v>
      </c>
      <c r="J4" s="7" t="s">
        <v>31</v>
      </c>
      <c r="K4" s="7" t="s">
        <v>32</v>
      </c>
      <c r="L4" s="7" t="s">
        <v>33</v>
      </c>
      <c r="M4" s="7" t="s">
        <v>34</v>
      </c>
      <c r="N4" s="7" t="s">
        <v>35</v>
      </c>
      <c r="O4" s="7" t="s">
        <v>36</v>
      </c>
      <c r="P4" s="7" t="s">
        <v>37</v>
      </c>
      <c r="Q4" s="22" t="s">
        <v>133</v>
      </c>
      <c r="R4" s="7" t="s">
        <v>38</v>
      </c>
      <c r="S4" s="22" t="s">
        <v>132</v>
      </c>
      <c r="T4" s="7" t="s">
        <v>39</v>
      </c>
      <c r="U4" s="22" t="s">
        <v>131</v>
      </c>
      <c r="V4" s="7" t="s">
        <v>40</v>
      </c>
      <c r="W4" s="22" t="s">
        <v>130</v>
      </c>
      <c r="X4" s="7" t="s">
        <v>41</v>
      </c>
      <c r="Y4" s="22" t="s">
        <v>184</v>
      </c>
      <c r="Z4" s="7" t="s">
        <v>43</v>
      </c>
      <c r="AA4" s="7" t="s">
        <v>42</v>
      </c>
      <c r="AB4" s="22" t="s">
        <v>183</v>
      </c>
      <c r="AC4" s="7" t="s">
        <v>191</v>
      </c>
      <c r="AD4" s="22" t="s">
        <v>44</v>
      </c>
      <c r="AE4" s="22" t="s">
        <v>181</v>
      </c>
      <c r="AF4" s="22" t="s">
        <v>182</v>
      </c>
      <c r="AG4" s="22" t="s">
        <v>45</v>
      </c>
      <c r="AH4" s="22" t="s">
        <v>45</v>
      </c>
      <c r="AI4" s="22" t="s">
        <v>46</v>
      </c>
      <c r="AJ4" s="22" t="s">
        <v>47</v>
      </c>
      <c r="AK4" s="22" t="s">
        <v>48</v>
      </c>
    </row>
    <row r="5" spans="1:37" ht="20" customHeight="1" x14ac:dyDescent="0.45">
      <c r="A5" s="3">
        <v>1</v>
      </c>
      <c r="B5" s="4" t="s">
        <v>0</v>
      </c>
      <c r="C5" s="3">
        <v>36</v>
      </c>
      <c r="D5" s="3">
        <v>36</v>
      </c>
      <c r="E5" s="3">
        <v>37</v>
      </c>
      <c r="F5" s="3">
        <v>37</v>
      </c>
      <c r="G5" s="19">
        <f t="shared" ref="G5:AK5" si="0">(G7/4)+13</f>
        <v>35.5</v>
      </c>
      <c r="H5" s="19">
        <f t="shared" si="0"/>
        <v>36</v>
      </c>
      <c r="I5" s="19">
        <f t="shared" si="0"/>
        <v>36.5</v>
      </c>
      <c r="J5" s="19">
        <f t="shared" si="0"/>
        <v>37</v>
      </c>
      <c r="K5" s="19">
        <f t="shared" si="0"/>
        <v>37.5</v>
      </c>
      <c r="L5" s="19">
        <f t="shared" si="0"/>
        <v>38</v>
      </c>
      <c r="M5" s="19">
        <f t="shared" si="0"/>
        <v>38.5</v>
      </c>
      <c r="N5" s="19">
        <f t="shared" si="0"/>
        <v>39</v>
      </c>
      <c r="O5" s="19">
        <f t="shared" si="0"/>
        <v>39.5</v>
      </c>
      <c r="P5" s="19">
        <f t="shared" si="0"/>
        <v>40</v>
      </c>
      <c r="Q5" s="19">
        <f t="shared" si="0"/>
        <v>40</v>
      </c>
      <c r="R5" s="19">
        <f t="shared" si="0"/>
        <v>40.5</v>
      </c>
      <c r="S5" s="19">
        <f t="shared" si="0"/>
        <v>40.5</v>
      </c>
      <c r="T5" s="19">
        <f t="shared" si="0"/>
        <v>41</v>
      </c>
      <c r="U5" s="19">
        <f t="shared" si="0"/>
        <v>41</v>
      </c>
      <c r="V5" s="19">
        <f t="shared" si="0"/>
        <v>41.5</v>
      </c>
      <c r="W5" s="19">
        <f t="shared" si="0"/>
        <v>41.5</v>
      </c>
      <c r="X5" s="19">
        <f t="shared" si="0"/>
        <v>42</v>
      </c>
      <c r="Y5" s="19">
        <f t="shared" si="0"/>
        <v>42</v>
      </c>
      <c r="Z5" s="19">
        <f t="shared" si="0"/>
        <v>42.5</v>
      </c>
      <c r="AA5" s="19">
        <f t="shared" si="0"/>
        <v>43</v>
      </c>
      <c r="AB5" s="19">
        <f t="shared" si="0"/>
        <v>43</v>
      </c>
      <c r="AC5" s="19">
        <f t="shared" si="0"/>
        <v>44</v>
      </c>
      <c r="AD5" s="19">
        <f t="shared" si="0"/>
        <v>44</v>
      </c>
      <c r="AE5" s="19">
        <f t="shared" si="0"/>
        <v>45</v>
      </c>
      <c r="AF5" s="3">
        <f t="shared" si="0"/>
        <v>46</v>
      </c>
      <c r="AG5" s="3">
        <f t="shared" si="0"/>
        <v>47</v>
      </c>
      <c r="AH5" s="3">
        <f t="shared" si="0"/>
        <v>47</v>
      </c>
      <c r="AI5" s="3">
        <f t="shared" si="0"/>
        <v>48</v>
      </c>
      <c r="AJ5" s="3">
        <f t="shared" si="0"/>
        <v>49</v>
      </c>
      <c r="AK5" s="3">
        <f t="shared" si="0"/>
        <v>50</v>
      </c>
    </row>
    <row r="6" spans="1:37" ht="20" customHeight="1" x14ac:dyDescent="0.45">
      <c r="A6" s="3">
        <v>2</v>
      </c>
      <c r="B6" s="4" t="s">
        <v>1</v>
      </c>
      <c r="C6" s="19">
        <v>39</v>
      </c>
      <c r="D6" s="19">
        <v>39</v>
      </c>
      <c r="E6" s="19">
        <v>40</v>
      </c>
      <c r="F6" s="19">
        <v>41</v>
      </c>
      <c r="G6" s="19">
        <v>40</v>
      </c>
      <c r="H6" s="19">
        <f>G6+1</f>
        <v>41</v>
      </c>
      <c r="I6" s="19">
        <f>G6+1</f>
        <v>41</v>
      </c>
      <c r="J6" s="19">
        <f t="shared" ref="J6:P6" si="1">H6+1</f>
        <v>42</v>
      </c>
      <c r="K6" s="19">
        <f t="shared" si="1"/>
        <v>42</v>
      </c>
      <c r="L6" s="19">
        <f t="shared" si="1"/>
        <v>43</v>
      </c>
      <c r="M6" s="19">
        <f t="shared" si="1"/>
        <v>43</v>
      </c>
      <c r="N6" s="19">
        <f>L6+1</f>
        <v>44</v>
      </c>
      <c r="O6" s="19">
        <f>M6+1</f>
        <v>44</v>
      </c>
      <c r="P6" s="19">
        <f t="shared" si="1"/>
        <v>45</v>
      </c>
      <c r="Q6" s="19">
        <f>P6+1</f>
        <v>46</v>
      </c>
      <c r="R6" s="19">
        <f>O6+1</f>
        <v>45</v>
      </c>
      <c r="S6" s="19">
        <f>R6+1</f>
        <v>46</v>
      </c>
      <c r="T6" s="19">
        <f>R6+2</f>
        <v>47</v>
      </c>
      <c r="U6" s="19">
        <f>T6+1</f>
        <v>48</v>
      </c>
      <c r="V6" s="19">
        <f>R6+2</f>
        <v>47</v>
      </c>
      <c r="W6" s="19">
        <f>V6+1</f>
        <v>48</v>
      </c>
      <c r="X6" s="19">
        <f>V6+2</f>
        <v>49</v>
      </c>
      <c r="Y6" s="19">
        <f>V6+1</f>
        <v>48</v>
      </c>
      <c r="Z6" s="19">
        <f>V6+2</f>
        <v>49</v>
      </c>
      <c r="AA6" s="19">
        <f>Z6+2</f>
        <v>51</v>
      </c>
      <c r="AB6" s="19">
        <f>AA6+1</f>
        <v>52</v>
      </c>
      <c r="AC6" s="19">
        <f>AA6+1</f>
        <v>52</v>
      </c>
      <c r="AD6" s="19">
        <f>AC6+1</f>
        <v>53</v>
      </c>
      <c r="AE6" s="19">
        <f>AD6+1</f>
        <v>54</v>
      </c>
      <c r="AF6" s="19">
        <f t="shared" ref="AF6:AK6" si="2">AE6+1</f>
        <v>55</v>
      </c>
      <c r="AG6" s="19">
        <f t="shared" si="2"/>
        <v>56</v>
      </c>
      <c r="AH6" s="19">
        <f t="shared" si="2"/>
        <v>57</v>
      </c>
      <c r="AI6" s="19">
        <f t="shared" si="2"/>
        <v>58</v>
      </c>
      <c r="AJ6" s="19">
        <f t="shared" si="2"/>
        <v>59</v>
      </c>
      <c r="AK6" s="19">
        <f t="shared" si="2"/>
        <v>60</v>
      </c>
    </row>
    <row r="7" spans="1:37" s="18" customFormat="1" ht="20" customHeight="1" x14ac:dyDescent="0.45">
      <c r="A7" s="9">
        <v>3</v>
      </c>
      <c r="B7" s="17" t="s">
        <v>8</v>
      </c>
      <c r="C7" s="9">
        <v>82</v>
      </c>
      <c r="D7" s="9">
        <v>84</v>
      </c>
      <c r="E7" s="9">
        <f t="shared" ref="E7:L7" si="3">C7+4</f>
        <v>86</v>
      </c>
      <c r="F7" s="9">
        <f t="shared" si="3"/>
        <v>88</v>
      </c>
      <c r="G7" s="9">
        <f>E7+4</f>
        <v>90</v>
      </c>
      <c r="H7" s="9">
        <f>F7+4</f>
        <v>92</v>
      </c>
      <c r="I7" s="9">
        <f t="shared" si="3"/>
        <v>94</v>
      </c>
      <c r="J7" s="9">
        <f t="shared" si="3"/>
        <v>96</v>
      </c>
      <c r="K7" s="9">
        <f t="shared" si="3"/>
        <v>98</v>
      </c>
      <c r="L7" s="9">
        <f t="shared" si="3"/>
        <v>100</v>
      </c>
      <c r="M7" s="9">
        <f>K7+4</f>
        <v>102</v>
      </c>
      <c r="N7" s="9">
        <f>L7+4</f>
        <v>104</v>
      </c>
      <c r="O7" s="9">
        <f>M7+4</f>
        <v>106</v>
      </c>
      <c r="P7" s="9">
        <f>N7+4</f>
        <v>108</v>
      </c>
      <c r="Q7" s="9">
        <v>108</v>
      </c>
      <c r="R7" s="9">
        <f>O7+4</f>
        <v>110</v>
      </c>
      <c r="S7" s="9">
        <v>110</v>
      </c>
      <c r="T7" s="9">
        <f>P7+4</f>
        <v>112</v>
      </c>
      <c r="U7" s="9">
        <v>112</v>
      </c>
      <c r="V7" s="9">
        <f>R7+4</f>
        <v>114</v>
      </c>
      <c r="W7" s="9">
        <v>114</v>
      </c>
      <c r="X7" s="9">
        <f>T7+4</f>
        <v>116</v>
      </c>
      <c r="Y7" s="9">
        <f>U7+4</f>
        <v>116</v>
      </c>
      <c r="Z7" s="9">
        <f>X7+2</f>
        <v>118</v>
      </c>
      <c r="AA7" s="9">
        <f>Z7+2</f>
        <v>120</v>
      </c>
      <c r="AB7" s="9">
        <f>Z7+2</f>
        <v>120</v>
      </c>
      <c r="AC7" s="9">
        <f>AB7+4</f>
        <v>124</v>
      </c>
      <c r="AD7" s="9">
        <f>AB7+4</f>
        <v>124</v>
      </c>
      <c r="AE7" s="9">
        <f>AD7+4</f>
        <v>128</v>
      </c>
      <c r="AF7" s="9">
        <f t="shared" ref="AF7:AG7" si="4">AE7+4</f>
        <v>132</v>
      </c>
      <c r="AG7" s="9">
        <f t="shared" si="4"/>
        <v>136</v>
      </c>
      <c r="AH7" s="9">
        <v>136</v>
      </c>
      <c r="AI7" s="9">
        <v>140</v>
      </c>
      <c r="AJ7" s="9">
        <v>144</v>
      </c>
      <c r="AK7" s="9">
        <v>148</v>
      </c>
    </row>
    <row r="8" spans="1:37" ht="20" customHeight="1" x14ac:dyDescent="0.45">
      <c r="A8" s="3">
        <v>4</v>
      </c>
      <c r="B8" s="4" t="s">
        <v>9</v>
      </c>
      <c r="C8" s="3">
        <f t="shared" ref="C8:J8" si="5">C7-6</f>
        <v>76</v>
      </c>
      <c r="D8" s="3">
        <f t="shared" si="5"/>
        <v>78</v>
      </c>
      <c r="E8" s="3">
        <f t="shared" si="5"/>
        <v>80</v>
      </c>
      <c r="F8" s="3">
        <f t="shared" si="5"/>
        <v>82</v>
      </c>
      <c r="G8" s="3">
        <f>G7-6</f>
        <v>84</v>
      </c>
      <c r="H8" s="3">
        <f>H7-6</f>
        <v>86</v>
      </c>
      <c r="I8" s="3">
        <f t="shared" si="5"/>
        <v>88</v>
      </c>
      <c r="J8" s="3">
        <f t="shared" si="5"/>
        <v>90</v>
      </c>
      <c r="K8" s="3">
        <f>K7-5</f>
        <v>93</v>
      </c>
      <c r="L8" s="3">
        <f t="shared" ref="L8:M8" si="6">L7-5</f>
        <v>95</v>
      </c>
      <c r="M8" s="3">
        <f t="shared" si="6"/>
        <v>97</v>
      </c>
      <c r="N8" s="3">
        <f t="shared" ref="N8:P8" si="7">N7-4</f>
        <v>100</v>
      </c>
      <c r="O8" s="3">
        <f t="shared" si="7"/>
        <v>102</v>
      </c>
      <c r="P8" s="3">
        <f t="shared" si="7"/>
        <v>104</v>
      </c>
      <c r="Q8" s="3">
        <f t="shared" ref="Q8" si="8">Q7+6</f>
        <v>114</v>
      </c>
      <c r="R8" s="3">
        <f>R7-4</f>
        <v>106</v>
      </c>
      <c r="S8" s="3">
        <f t="shared" ref="S8" si="9">S7+6</f>
        <v>116</v>
      </c>
      <c r="T8" s="3">
        <f>T7-4</f>
        <v>108</v>
      </c>
      <c r="U8" s="3">
        <f t="shared" ref="U8" si="10">U7+6</f>
        <v>118</v>
      </c>
      <c r="V8" s="3">
        <f>V7-4</f>
        <v>110</v>
      </c>
      <c r="W8" s="3">
        <f t="shared" ref="W8" si="11">W7+6</f>
        <v>120</v>
      </c>
      <c r="X8" s="3">
        <f t="shared" ref="X8" si="12">X7-4</f>
        <v>112</v>
      </c>
      <c r="Y8" s="3">
        <f t="shared" ref="Y8" si="13">Y7+6</f>
        <v>122</v>
      </c>
      <c r="Z8" s="3">
        <f t="shared" ref="Z8:AA8" si="14">Z7-4</f>
        <v>114</v>
      </c>
      <c r="AA8" s="3">
        <f t="shared" si="14"/>
        <v>116</v>
      </c>
      <c r="AB8" s="3">
        <f t="shared" ref="AB8:AK8" si="15">AB7+6</f>
        <v>126</v>
      </c>
      <c r="AC8" s="3">
        <f>AC7-4</f>
        <v>120</v>
      </c>
      <c r="AD8" s="3">
        <f t="shared" si="15"/>
        <v>130</v>
      </c>
      <c r="AE8" s="3">
        <f t="shared" si="15"/>
        <v>134</v>
      </c>
      <c r="AF8" s="3">
        <f t="shared" si="15"/>
        <v>138</v>
      </c>
      <c r="AG8" s="3">
        <f t="shared" si="15"/>
        <v>142</v>
      </c>
      <c r="AH8" s="3">
        <f t="shared" si="15"/>
        <v>142</v>
      </c>
      <c r="AI8" s="3">
        <f t="shared" si="15"/>
        <v>146</v>
      </c>
      <c r="AJ8" s="3">
        <f t="shared" si="15"/>
        <v>150</v>
      </c>
      <c r="AK8" s="3">
        <f t="shared" si="15"/>
        <v>154</v>
      </c>
    </row>
    <row r="9" spans="1:37" ht="20" customHeight="1" x14ac:dyDescent="0.45">
      <c r="A9" s="3">
        <v>5</v>
      </c>
      <c r="B9" s="4" t="s">
        <v>10</v>
      </c>
      <c r="C9" s="3">
        <f t="shared" ref="C9:F9" si="16">C7+4</f>
        <v>86</v>
      </c>
      <c r="D9" s="3">
        <f t="shared" si="16"/>
        <v>88</v>
      </c>
      <c r="E9" s="3">
        <f t="shared" si="16"/>
        <v>90</v>
      </c>
      <c r="F9" s="3">
        <f t="shared" si="16"/>
        <v>92</v>
      </c>
      <c r="G9" s="3">
        <f>G7-2</f>
        <v>88</v>
      </c>
      <c r="H9" s="3">
        <f t="shared" ref="H9:P9" si="17">H7-2</f>
        <v>90</v>
      </c>
      <c r="I9" s="3">
        <f t="shared" si="17"/>
        <v>92</v>
      </c>
      <c r="J9" s="3">
        <f t="shared" si="17"/>
        <v>94</v>
      </c>
      <c r="K9" s="3">
        <f t="shared" si="17"/>
        <v>96</v>
      </c>
      <c r="L9" s="3">
        <f t="shared" si="17"/>
        <v>98</v>
      </c>
      <c r="M9" s="3">
        <f t="shared" si="17"/>
        <v>100</v>
      </c>
      <c r="N9" s="3">
        <f t="shared" si="17"/>
        <v>102</v>
      </c>
      <c r="O9" s="3">
        <f t="shared" si="17"/>
        <v>104</v>
      </c>
      <c r="P9" s="3">
        <f t="shared" si="17"/>
        <v>106</v>
      </c>
      <c r="Q9" s="3">
        <f>Q8+2</f>
        <v>116</v>
      </c>
      <c r="R9" s="3">
        <f>R7-2</f>
        <v>108</v>
      </c>
      <c r="S9" s="3">
        <f>S8+2</f>
        <v>118</v>
      </c>
      <c r="T9" s="3">
        <f>T7+2</f>
        <v>114</v>
      </c>
      <c r="U9" s="3">
        <f>U8+2</f>
        <v>120</v>
      </c>
      <c r="V9" s="3">
        <f>V7+2</f>
        <v>116</v>
      </c>
      <c r="W9" s="3">
        <f>W8+2</f>
        <v>122</v>
      </c>
      <c r="X9" s="3">
        <f>X7+2</f>
        <v>118</v>
      </c>
      <c r="Y9" s="3">
        <f>Y8+2</f>
        <v>124</v>
      </c>
      <c r="Z9" s="3">
        <f>Z7+2</f>
        <v>120</v>
      </c>
      <c r="AA9" s="3">
        <f>AA7+2</f>
        <v>122</v>
      </c>
      <c r="AB9" s="3">
        <f>AB8+3</f>
        <v>129</v>
      </c>
      <c r="AC9" s="3">
        <f>AC7+2</f>
        <v>126</v>
      </c>
      <c r="AD9" s="3">
        <f t="shared" ref="AD9:AK9" si="18">AD8+3</f>
        <v>133</v>
      </c>
      <c r="AE9" s="3">
        <f t="shared" si="18"/>
        <v>137</v>
      </c>
      <c r="AF9" s="3">
        <f t="shared" si="18"/>
        <v>141</v>
      </c>
      <c r="AG9" s="3">
        <f t="shared" si="18"/>
        <v>145</v>
      </c>
      <c r="AH9" s="3">
        <f t="shared" si="18"/>
        <v>145</v>
      </c>
      <c r="AI9" s="3">
        <f t="shared" si="18"/>
        <v>149</v>
      </c>
      <c r="AJ9" s="3">
        <f t="shared" si="18"/>
        <v>153</v>
      </c>
      <c r="AK9" s="3">
        <f t="shared" si="18"/>
        <v>157</v>
      </c>
    </row>
    <row r="10" spans="1:37" ht="20" customHeight="1" x14ac:dyDescent="0.45">
      <c r="A10" s="3">
        <v>6</v>
      </c>
      <c r="B10" s="4" t="s">
        <v>2</v>
      </c>
      <c r="C10" s="3">
        <v>68</v>
      </c>
      <c r="D10" s="3">
        <v>68</v>
      </c>
      <c r="E10" s="3">
        <v>68</v>
      </c>
      <c r="F10" s="3">
        <v>68</v>
      </c>
      <c r="G10" s="3">
        <v>68</v>
      </c>
      <c r="H10" s="3">
        <v>68</v>
      </c>
      <c r="I10" s="3">
        <v>68</v>
      </c>
      <c r="J10" s="3">
        <v>68</v>
      </c>
      <c r="K10" s="3">
        <v>69</v>
      </c>
      <c r="L10" s="3">
        <v>69</v>
      </c>
      <c r="M10" s="3">
        <v>69</v>
      </c>
      <c r="N10" s="3">
        <v>69</v>
      </c>
      <c r="O10" s="3">
        <v>69</v>
      </c>
      <c r="P10" s="3">
        <v>70</v>
      </c>
      <c r="Q10" s="3">
        <v>74</v>
      </c>
      <c r="R10" s="3">
        <v>70</v>
      </c>
      <c r="S10" s="3">
        <v>74</v>
      </c>
      <c r="T10" s="3">
        <v>72</v>
      </c>
      <c r="U10" s="3">
        <v>76</v>
      </c>
      <c r="V10" s="3">
        <v>74</v>
      </c>
      <c r="W10" s="3">
        <v>76</v>
      </c>
      <c r="X10" s="3">
        <v>76</v>
      </c>
      <c r="Y10" s="3">
        <v>76</v>
      </c>
      <c r="Z10" s="3">
        <v>76</v>
      </c>
      <c r="AA10" s="3">
        <v>76</v>
      </c>
      <c r="AB10" s="3">
        <v>77</v>
      </c>
      <c r="AC10" s="3">
        <v>76</v>
      </c>
      <c r="AD10" s="3">
        <v>77</v>
      </c>
      <c r="AE10" s="3">
        <v>78</v>
      </c>
      <c r="AF10" s="3">
        <v>78</v>
      </c>
      <c r="AG10" s="3">
        <v>78</v>
      </c>
      <c r="AH10" s="3">
        <v>78</v>
      </c>
      <c r="AI10" s="3">
        <v>79</v>
      </c>
      <c r="AJ10" s="3">
        <v>79</v>
      </c>
      <c r="AK10" s="3">
        <v>79</v>
      </c>
    </row>
    <row r="11" spans="1:37" s="16" customFormat="1" ht="20" customHeight="1" x14ac:dyDescent="0.45">
      <c r="A11" s="10">
        <v>7</v>
      </c>
      <c r="B11" s="15" t="s">
        <v>4</v>
      </c>
      <c r="C11" s="10">
        <v>31</v>
      </c>
      <c r="D11" s="10">
        <v>31</v>
      </c>
      <c r="E11" s="10">
        <v>32</v>
      </c>
      <c r="F11" s="10">
        <v>32</v>
      </c>
      <c r="G11" s="10">
        <f>G12-18</f>
        <v>32</v>
      </c>
      <c r="H11" s="10">
        <f t="shared" ref="H11:AC11" si="19">H12-18</f>
        <v>34</v>
      </c>
      <c r="I11" s="10">
        <f t="shared" si="19"/>
        <v>34</v>
      </c>
      <c r="J11" s="10">
        <f t="shared" si="19"/>
        <v>35</v>
      </c>
      <c r="K11" s="10">
        <f t="shared" si="19"/>
        <v>35</v>
      </c>
      <c r="L11" s="10">
        <f t="shared" si="19"/>
        <v>36</v>
      </c>
      <c r="M11" s="10">
        <f t="shared" si="19"/>
        <v>36</v>
      </c>
      <c r="N11" s="10">
        <f t="shared" si="19"/>
        <v>37</v>
      </c>
      <c r="O11" s="10">
        <f t="shared" si="19"/>
        <v>37</v>
      </c>
      <c r="P11" s="10">
        <f t="shared" si="19"/>
        <v>38</v>
      </c>
      <c r="Q11" s="10">
        <f t="shared" si="19"/>
        <v>39</v>
      </c>
      <c r="R11" s="10">
        <f t="shared" si="19"/>
        <v>38</v>
      </c>
      <c r="S11" s="10">
        <f t="shared" si="19"/>
        <v>39</v>
      </c>
      <c r="T11" s="10">
        <f t="shared" si="19"/>
        <v>39</v>
      </c>
      <c r="U11" s="10">
        <f t="shared" si="19"/>
        <v>40</v>
      </c>
      <c r="V11" s="10">
        <f t="shared" si="19"/>
        <v>39</v>
      </c>
      <c r="W11" s="10">
        <f t="shared" si="19"/>
        <v>40</v>
      </c>
      <c r="X11" s="10">
        <f t="shared" si="19"/>
        <v>41</v>
      </c>
      <c r="Y11" s="10">
        <f t="shared" si="19"/>
        <v>41</v>
      </c>
      <c r="Z11" s="10">
        <f t="shared" si="19"/>
        <v>41</v>
      </c>
      <c r="AA11" s="10">
        <f t="shared" si="19"/>
        <v>43</v>
      </c>
      <c r="AB11" s="10">
        <f t="shared" si="19"/>
        <v>44</v>
      </c>
      <c r="AC11" s="10">
        <f t="shared" si="19"/>
        <v>44</v>
      </c>
      <c r="AD11" s="10">
        <f>AD12-17</f>
        <v>46</v>
      </c>
      <c r="AE11" s="10">
        <f t="shared" ref="AE11:AK11" si="20">AE12-17</f>
        <v>47</v>
      </c>
      <c r="AF11" s="10">
        <f t="shared" si="20"/>
        <v>48</v>
      </c>
      <c r="AG11" s="10">
        <f t="shared" si="20"/>
        <v>49</v>
      </c>
      <c r="AH11" s="10">
        <f t="shared" si="20"/>
        <v>50</v>
      </c>
      <c r="AI11" s="10">
        <f t="shared" si="20"/>
        <v>51</v>
      </c>
      <c r="AJ11" s="10">
        <f t="shared" si="20"/>
        <v>52</v>
      </c>
      <c r="AK11" s="10">
        <f t="shared" si="20"/>
        <v>53</v>
      </c>
    </row>
    <row r="12" spans="1:37" s="16" customFormat="1" ht="20" customHeight="1" x14ac:dyDescent="0.45">
      <c r="A12" s="10">
        <v>8</v>
      </c>
      <c r="B12" s="15" t="s">
        <v>5</v>
      </c>
      <c r="C12" s="10">
        <v>42</v>
      </c>
      <c r="D12" s="10">
        <v>42</v>
      </c>
      <c r="E12" s="10">
        <v>43</v>
      </c>
      <c r="F12" s="10">
        <v>43</v>
      </c>
      <c r="G12" s="10">
        <v>50</v>
      </c>
      <c r="H12" s="10">
        <v>52</v>
      </c>
      <c r="I12" s="10">
        <v>52</v>
      </c>
      <c r="J12" s="10">
        <f t="shared" ref="J12:P12" si="21">H12+1</f>
        <v>53</v>
      </c>
      <c r="K12" s="10">
        <f t="shared" si="21"/>
        <v>53</v>
      </c>
      <c r="L12" s="10">
        <f t="shared" si="21"/>
        <v>54</v>
      </c>
      <c r="M12" s="10">
        <f t="shared" si="21"/>
        <v>54</v>
      </c>
      <c r="N12" s="10">
        <f t="shared" si="21"/>
        <v>55</v>
      </c>
      <c r="O12" s="10">
        <f t="shared" si="21"/>
        <v>55</v>
      </c>
      <c r="P12" s="10">
        <f t="shared" si="21"/>
        <v>56</v>
      </c>
      <c r="Q12" s="10">
        <f>P12+1</f>
        <v>57</v>
      </c>
      <c r="R12" s="10">
        <f>O12+1</f>
        <v>56</v>
      </c>
      <c r="S12" s="10">
        <f>R12+1</f>
        <v>57</v>
      </c>
      <c r="T12" s="10">
        <f>R12+1</f>
        <v>57</v>
      </c>
      <c r="U12" s="10">
        <f>S12+1</f>
        <v>58</v>
      </c>
      <c r="V12" s="10">
        <f>R12+1</f>
        <v>57</v>
      </c>
      <c r="W12" s="10">
        <f>S12+1</f>
        <v>58</v>
      </c>
      <c r="X12" s="10">
        <f>T12+2</f>
        <v>59</v>
      </c>
      <c r="Y12" s="10">
        <f>W12+1</f>
        <v>59</v>
      </c>
      <c r="Z12" s="10">
        <f>V12+2</f>
        <v>59</v>
      </c>
      <c r="AA12" s="10">
        <f>X12+2</f>
        <v>61</v>
      </c>
      <c r="AB12" s="10">
        <f>AA12+1</f>
        <v>62</v>
      </c>
      <c r="AC12" s="10">
        <f>AA12+1</f>
        <v>62</v>
      </c>
      <c r="AD12" s="10">
        <f>AB12+1</f>
        <v>63</v>
      </c>
      <c r="AE12" s="10">
        <f>AD12+1</f>
        <v>64</v>
      </c>
      <c r="AF12" s="10">
        <f>AE12+1</f>
        <v>65</v>
      </c>
      <c r="AG12" s="10">
        <f t="shared" ref="AG12:AK12" si="22">AF12+1</f>
        <v>66</v>
      </c>
      <c r="AH12" s="10">
        <f t="shared" si="22"/>
        <v>67</v>
      </c>
      <c r="AI12" s="10">
        <f t="shared" si="22"/>
        <v>68</v>
      </c>
      <c r="AJ12" s="10">
        <f t="shared" si="22"/>
        <v>69</v>
      </c>
      <c r="AK12" s="10">
        <f t="shared" si="22"/>
        <v>70</v>
      </c>
    </row>
    <row r="13" spans="1:37" ht="20" customHeight="1" x14ac:dyDescent="0.45">
      <c r="A13" s="3">
        <v>9</v>
      </c>
      <c r="B13" s="4" t="s">
        <v>3</v>
      </c>
      <c r="C13" s="3">
        <v>23</v>
      </c>
      <c r="D13" s="3">
        <v>23</v>
      </c>
      <c r="E13" s="3">
        <v>23</v>
      </c>
      <c r="F13" s="3">
        <v>23</v>
      </c>
      <c r="G13" s="3">
        <v>23</v>
      </c>
      <c r="H13" s="3">
        <v>23</v>
      </c>
      <c r="I13" s="3">
        <v>23</v>
      </c>
      <c r="J13" s="3">
        <v>24</v>
      </c>
      <c r="K13" s="3">
        <v>24</v>
      </c>
      <c r="L13" s="3">
        <v>25</v>
      </c>
      <c r="M13" s="3">
        <v>25</v>
      </c>
      <c r="N13" s="3">
        <v>25</v>
      </c>
      <c r="O13" s="3">
        <v>25</v>
      </c>
      <c r="P13" s="3">
        <v>26</v>
      </c>
      <c r="Q13" s="3">
        <v>26</v>
      </c>
      <c r="R13" s="3">
        <v>26</v>
      </c>
      <c r="S13" s="3">
        <v>26</v>
      </c>
      <c r="T13" s="3">
        <v>26</v>
      </c>
      <c r="U13" s="3">
        <v>26</v>
      </c>
      <c r="V13" s="3">
        <v>26</v>
      </c>
      <c r="W13" s="3">
        <v>26</v>
      </c>
      <c r="X13" s="3">
        <v>26</v>
      </c>
      <c r="Y13" s="3">
        <v>26</v>
      </c>
      <c r="Z13" s="3">
        <v>26</v>
      </c>
      <c r="AA13" s="3">
        <v>27</v>
      </c>
      <c r="AB13" s="3">
        <v>27</v>
      </c>
      <c r="AC13" s="3">
        <v>27</v>
      </c>
      <c r="AD13" s="3">
        <v>27</v>
      </c>
      <c r="AE13" s="3">
        <v>27</v>
      </c>
      <c r="AF13" s="3">
        <v>27</v>
      </c>
      <c r="AG13" s="3">
        <v>27</v>
      </c>
      <c r="AH13" s="3">
        <v>27</v>
      </c>
      <c r="AI13" s="3">
        <v>27</v>
      </c>
      <c r="AJ13" s="3">
        <v>27</v>
      </c>
      <c r="AK13" s="3">
        <v>27</v>
      </c>
    </row>
    <row r="16" spans="1:37" ht="15.75" x14ac:dyDescent="0.45">
      <c r="A16" s="69" t="s">
        <v>138</v>
      </c>
      <c r="B16" s="69"/>
      <c r="C16" s="69"/>
    </row>
    <row r="17" spans="1:37" s="12" customFormat="1" ht="15.75" x14ac:dyDescent="0.45">
      <c r="A17" s="57" t="s">
        <v>7</v>
      </c>
      <c r="B17" s="57" t="s">
        <v>6</v>
      </c>
      <c r="C17" s="60" t="s">
        <v>12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</row>
    <row r="18" spans="1:37" s="12" customFormat="1" ht="15.75" x14ac:dyDescent="0.45">
      <c r="A18" s="58"/>
      <c r="B18" s="58"/>
      <c r="C18" s="20">
        <v>1</v>
      </c>
      <c r="D18" s="20">
        <v>2</v>
      </c>
      <c r="E18" s="20">
        <v>3</v>
      </c>
      <c r="F18" s="20">
        <v>4</v>
      </c>
      <c r="G18" s="20">
        <v>1</v>
      </c>
      <c r="H18" s="20">
        <v>2</v>
      </c>
      <c r="I18" s="20">
        <v>3</v>
      </c>
      <c r="J18" s="20">
        <v>4</v>
      </c>
      <c r="K18" s="20">
        <v>5</v>
      </c>
      <c r="L18" s="20">
        <v>6</v>
      </c>
      <c r="M18" s="20">
        <v>7</v>
      </c>
      <c r="N18" s="20">
        <v>8</v>
      </c>
      <c r="O18" s="20">
        <v>9</v>
      </c>
      <c r="P18" s="20">
        <v>10</v>
      </c>
      <c r="Q18" s="20">
        <v>11</v>
      </c>
      <c r="R18" s="20">
        <v>12</v>
      </c>
      <c r="S18" s="20">
        <v>13</v>
      </c>
      <c r="T18" s="20">
        <v>14</v>
      </c>
      <c r="U18" s="20">
        <v>15</v>
      </c>
      <c r="V18" s="20">
        <v>16</v>
      </c>
      <c r="W18" s="20">
        <v>17</v>
      </c>
      <c r="X18" s="20">
        <v>18</v>
      </c>
      <c r="Y18" s="20">
        <v>19</v>
      </c>
      <c r="Z18" s="20">
        <v>20</v>
      </c>
      <c r="AA18" s="20">
        <v>21</v>
      </c>
      <c r="AB18" s="20">
        <v>22</v>
      </c>
      <c r="AC18" s="20">
        <v>23</v>
      </c>
      <c r="AD18" s="20">
        <v>24</v>
      </c>
      <c r="AE18" s="20">
        <v>25</v>
      </c>
      <c r="AF18" s="20">
        <v>26</v>
      </c>
      <c r="AG18" s="20">
        <v>27</v>
      </c>
      <c r="AH18" s="20">
        <v>28</v>
      </c>
      <c r="AI18" s="20">
        <v>29</v>
      </c>
      <c r="AJ18" s="20">
        <v>30</v>
      </c>
      <c r="AK18" s="20">
        <v>31</v>
      </c>
    </row>
    <row r="19" spans="1:37" s="13" customFormat="1" ht="19.05" customHeight="1" x14ac:dyDescent="0.45">
      <c r="A19" s="59"/>
      <c r="B19" s="59"/>
      <c r="C19" s="11" t="s">
        <v>49</v>
      </c>
      <c r="D19" s="11" t="s">
        <v>50</v>
      </c>
      <c r="E19" s="11" t="s">
        <v>51</v>
      </c>
      <c r="F19" s="11" t="s">
        <v>52</v>
      </c>
      <c r="G19" s="11" t="s">
        <v>53</v>
      </c>
      <c r="H19" s="11" t="s">
        <v>54</v>
      </c>
      <c r="I19" s="11" t="s">
        <v>55</v>
      </c>
      <c r="J19" s="11" t="s">
        <v>56</v>
      </c>
      <c r="K19" s="11" t="s">
        <v>57</v>
      </c>
      <c r="L19" s="11" t="s">
        <v>58</v>
      </c>
      <c r="M19" s="11" t="s">
        <v>59</v>
      </c>
      <c r="N19" s="11" t="s">
        <v>60</v>
      </c>
      <c r="O19" s="11" t="s">
        <v>61</v>
      </c>
      <c r="P19" s="11" t="s">
        <v>62</v>
      </c>
      <c r="Q19" s="56" t="s">
        <v>201</v>
      </c>
      <c r="R19" s="11" t="s">
        <v>63</v>
      </c>
      <c r="S19" s="11" t="s">
        <v>64</v>
      </c>
      <c r="T19" s="56" t="s">
        <v>206</v>
      </c>
      <c r="U19" s="11" t="s">
        <v>73</v>
      </c>
      <c r="V19" s="56" t="s">
        <v>204</v>
      </c>
      <c r="W19" s="11" t="s">
        <v>75</v>
      </c>
      <c r="X19" s="56" t="s">
        <v>195</v>
      </c>
      <c r="Y19" s="11" t="s">
        <v>79</v>
      </c>
      <c r="Z19" s="11" t="s">
        <v>81</v>
      </c>
      <c r="AA19" s="11" t="s">
        <v>134</v>
      </c>
      <c r="AB19" s="11" t="s">
        <v>135</v>
      </c>
      <c r="AC19" s="56" t="s">
        <v>198</v>
      </c>
      <c r="AD19" s="11" t="s">
        <v>164</v>
      </c>
      <c r="AE19" s="11" t="s">
        <v>84</v>
      </c>
      <c r="AF19" s="56" t="s">
        <v>199</v>
      </c>
      <c r="AG19" s="11" t="s">
        <v>85</v>
      </c>
      <c r="AH19" s="11" t="s">
        <v>83</v>
      </c>
      <c r="AI19" s="11" t="s">
        <v>192</v>
      </c>
      <c r="AJ19" s="11" t="s">
        <v>165</v>
      </c>
      <c r="AK19" s="11"/>
    </row>
    <row r="20" spans="1:37" ht="20" customHeight="1" x14ac:dyDescent="0.45">
      <c r="A20" s="3">
        <v>1</v>
      </c>
      <c r="B20" s="4" t="s">
        <v>0</v>
      </c>
      <c r="C20" s="3"/>
      <c r="D20" s="3">
        <v>39</v>
      </c>
      <c r="E20" s="3">
        <v>39</v>
      </c>
      <c r="F20" s="3">
        <v>39</v>
      </c>
      <c r="G20" s="19">
        <f>(G22/4)+13+7</f>
        <v>42.5</v>
      </c>
      <c r="H20" s="19">
        <f t="shared" ref="H20:AJ20" si="23">(H22/4)+13+7</f>
        <v>43</v>
      </c>
      <c r="I20" s="19">
        <f t="shared" si="23"/>
        <v>43.5</v>
      </c>
      <c r="J20" s="19">
        <f t="shared" si="23"/>
        <v>44</v>
      </c>
      <c r="K20" s="19">
        <f t="shared" si="23"/>
        <v>44.5</v>
      </c>
      <c r="L20" s="19">
        <f t="shared" si="23"/>
        <v>45</v>
      </c>
      <c r="M20" s="19">
        <f t="shared" si="23"/>
        <v>45.5</v>
      </c>
      <c r="N20" s="19">
        <f t="shared" si="23"/>
        <v>46</v>
      </c>
      <c r="O20" s="19">
        <f t="shared" si="23"/>
        <v>46.5</v>
      </c>
      <c r="P20" s="19">
        <f t="shared" ref="P20" si="24">(P22/4)+13+7</f>
        <v>47</v>
      </c>
      <c r="Q20" s="21">
        <f t="shared" si="23"/>
        <v>47</v>
      </c>
      <c r="R20" s="19">
        <f t="shared" si="23"/>
        <v>47.5</v>
      </c>
      <c r="S20" s="19">
        <f t="shared" si="23"/>
        <v>48</v>
      </c>
      <c r="T20" s="21">
        <f t="shared" ref="T20" si="25">(T22/4)+13+7</f>
        <v>48</v>
      </c>
      <c r="U20" s="19">
        <f t="shared" si="23"/>
        <v>48.5</v>
      </c>
      <c r="V20" s="21">
        <f>(V22/4)+13+7</f>
        <v>48.5</v>
      </c>
      <c r="W20" s="19">
        <f t="shared" si="23"/>
        <v>49</v>
      </c>
      <c r="X20" s="19">
        <f>(X22/4)+13+7</f>
        <v>49</v>
      </c>
      <c r="Y20" s="19">
        <f t="shared" si="23"/>
        <v>49.5</v>
      </c>
      <c r="Z20" s="19">
        <f t="shared" si="23"/>
        <v>50</v>
      </c>
      <c r="AA20" s="19">
        <f t="shared" si="23"/>
        <v>50.5</v>
      </c>
      <c r="AB20" s="19">
        <f t="shared" si="23"/>
        <v>51</v>
      </c>
      <c r="AC20" s="21">
        <f t="shared" ref="AC20" si="26">(AC22/4)+13+7</f>
        <v>51</v>
      </c>
      <c r="AD20" s="19">
        <f t="shared" si="23"/>
        <v>51.5</v>
      </c>
      <c r="AE20" s="19">
        <f t="shared" si="23"/>
        <v>52</v>
      </c>
      <c r="AF20" s="21">
        <f t="shared" si="23"/>
        <v>52</v>
      </c>
      <c r="AG20" s="19">
        <f t="shared" si="23"/>
        <v>52.5</v>
      </c>
      <c r="AH20" s="19">
        <f t="shared" si="23"/>
        <v>53</v>
      </c>
      <c r="AI20" s="19">
        <f t="shared" si="23"/>
        <v>54</v>
      </c>
      <c r="AJ20" s="19">
        <f t="shared" si="23"/>
        <v>55</v>
      </c>
      <c r="AK20" s="3"/>
    </row>
    <row r="21" spans="1:37" ht="20" customHeight="1" x14ac:dyDescent="0.45">
      <c r="A21" s="3">
        <v>2</v>
      </c>
      <c r="B21" s="4" t="s">
        <v>1</v>
      </c>
      <c r="C21" s="3"/>
      <c r="D21" s="3">
        <v>38</v>
      </c>
      <c r="E21" s="3">
        <v>38</v>
      </c>
      <c r="F21" s="3">
        <v>39</v>
      </c>
      <c r="G21" s="3">
        <v>37</v>
      </c>
      <c r="H21" s="3">
        <f>G21+1</f>
        <v>38</v>
      </c>
      <c r="I21" s="3">
        <f>G21+1</f>
        <v>38</v>
      </c>
      <c r="J21" s="3">
        <f>H21+1</f>
        <v>39</v>
      </c>
      <c r="K21" s="3">
        <f t="shared" ref="K21:AB21" si="27">I21+1</f>
        <v>39</v>
      </c>
      <c r="L21" s="3">
        <f t="shared" si="27"/>
        <v>40</v>
      </c>
      <c r="M21" s="3">
        <f t="shared" si="27"/>
        <v>40</v>
      </c>
      <c r="N21" s="3">
        <f>L21+1</f>
        <v>41</v>
      </c>
      <c r="O21" s="3">
        <f t="shared" ref="O21:P21" si="28">M21+1</f>
        <v>41</v>
      </c>
      <c r="P21" s="3">
        <f t="shared" si="28"/>
        <v>42</v>
      </c>
      <c r="Q21" s="10">
        <f>P21+1</f>
        <v>43</v>
      </c>
      <c r="R21" s="3">
        <f>O21+1</f>
        <v>42</v>
      </c>
      <c r="S21" s="3">
        <f>P21+1</f>
        <v>43</v>
      </c>
      <c r="T21" s="10">
        <f>S21+1</f>
        <v>44</v>
      </c>
      <c r="U21" s="3">
        <f>R21+1</f>
        <v>43</v>
      </c>
      <c r="V21" s="10">
        <f>U21+1</f>
        <v>44</v>
      </c>
      <c r="W21" s="3">
        <f>S21+1</f>
        <v>44</v>
      </c>
      <c r="X21" s="10">
        <f>W21+1</f>
        <v>45</v>
      </c>
      <c r="Y21" s="3">
        <f>U21+1</f>
        <v>44</v>
      </c>
      <c r="Z21" s="3">
        <f>W21+1</f>
        <v>45</v>
      </c>
      <c r="AA21" s="3">
        <f t="shared" si="27"/>
        <v>45</v>
      </c>
      <c r="AB21" s="3">
        <f t="shared" si="27"/>
        <v>46</v>
      </c>
      <c r="AC21" s="10">
        <f>AB21+1</f>
        <v>47</v>
      </c>
      <c r="AD21" s="3">
        <f>AA21+1</f>
        <v>46</v>
      </c>
      <c r="AE21" s="3">
        <f>AB21+1</f>
        <v>47</v>
      </c>
      <c r="AF21" s="10">
        <f>AE21+1</f>
        <v>48</v>
      </c>
      <c r="AG21" s="3">
        <f>AE21+1</f>
        <v>48</v>
      </c>
      <c r="AH21" s="3">
        <f>AE21+1</f>
        <v>48</v>
      </c>
      <c r="AI21" s="3">
        <f>AG21+1</f>
        <v>49</v>
      </c>
      <c r="AJ21" s="3">
        <f>AI21+1</f>
        <v>50</v>
      </c>
      <c r="AK21" s="3"/>
    </row>
    <row r="22" spans="1:37" s="27" customFormat="1" ht="20" customHeight="1" x14ac:dyDescent="0.45">
      <c r="A22" s="25">
        <v>3</v>
      </c>
      <c r="B22" s="26" t="s">
        <v>8</v>
      </c>
      <c r="C22" s="25">
        <v>82</v>
      </c>
      <c r="D22" s="25">
        <f>C22+2</f>
        <v>84</v>
      </c>
      <c r="E22" s="25">
        <f t="shared" ref="E22" si="29">C22+4</f>
        <v>86</v>
      </c>
      <c r="F22" s="25">
        <f>E22+2</f>
        <v>88</v>
      </c>
      <c r="G22" s="25">
        <f>F22+2</f>
        <v>90</v>
      </c>
      <c r="H22" s="25">
        <f t="shared" ref="H22:O22" si="30">G22+2</f>
        <v>92</v>
      </c>
      <c r="I22" s="25">
        <f t="shared" si="30"/>
        <v>94</v>
      </c>
      <c r="J22" s="25">
        <f t="shared" si="30"/>
        <v>96</v>
      </c>
      <c r="K22" s="25">
        <f t="shared" si="30"/>
        <v>98</v>
      </c>
      <c r="L22" s="25">
        <f t="shared" si="30"/>
        <v>100</v>
      </c>
      <c r="M22" s="25">
        <f t="shared" si="30"/>
        <v>102</v>
      </c>
      <c r="N22" s="25">
        <f t="shared" si="30"/>
        <v>104</v>
      </c>
      <c r="O22" s="25">
        <f t="shared" si="30"/>
        <v>106</v>
      </c>
      <c r="P22" s="25">
        <f>O22+2</f>
        <v>108</v>
      </c>
      <c r="Q22" s="25">
        <f>N22+4</f>
        <v>108</v>
      </c>
      <c r="R22" s="25">
        <f>Q22+2</f>
        <v>110</v>
      </c>
      <c r="S22" s="25">
        <f>R22+2</f>
        <v>112</v>
      </c>
      <c r="T22" s="25">
        <f>Q22+4</f>
        <v>112</v>
      </c>
      <c r="U22" s="25">
        <f>S22+2</f>
        <v>114</v>
      </c>
      <c r="V22" s="25">
        <f>R22+4</f>
        <v>114</v>
      </c>
      <c r="W22" s="25">
        <f>U22+2</f>
        <v>116</v>
      </c>
      <c r="X22" s="25">
        <f>U22+2</f>
        <v>116</v>
      </c>
      <c r="Y22" s="25">
        <f>W22+2</f>
        <v>118</v>
      </c>
      <c r="Z22" s="25">
        <f t="shared" ref="Z22:AH22" si="31">Y22+2</f>
        <v>120</v>
      </c>
      <c r="AA22" s="25">
        <f t="shared" si="31"/>
        <v>122</v>
      </c>
      <c r="AB22" s="25">
        <f t="shared" si="31"/>
        <v>124</v>
      </c>
      <c r="AC22" s="25">
        <f>AA22+2</f>
        <v>124</v>
      </c>
      <c r="AD22" s="25">
        <f>AB22+2</f>
        <v>126</v>
      </c>
      <c r="AE22" s="25">
        <f>AD22+2</f>
        <v>128</v>
      </c>
      <c r="AF22" s="25">
        <f>AD22+2</f>
        <v>128</v>
      </c>
      <c r="AG22" s="25">
        <f>AE22+2</f>
        <v>130</v>
      </c>
      <c r="AH22" s="25">
        <f t="shared" si="31"/>
        <v>132</v>
      </c>
      <c r="AI22" s="25">
        <f>AH22+4</f>
        <v>136</v>
      </c>
      <c r="AJ22" s="25">
        <f>AI22+4</f>
        <v>140</v>
      </c>
      <c r="AK22" s="25"/>
    </row>
    <row r="23" spans="1:37" s="24" customFormat="1" ht="20" customHeight="1" x14ac:dyDescent="0.45">
      <c r="A23" s="6">
        <v>4</v>
      </c>
      <c r="B23" s="23" t="s">
        <v>9</v>
      </c>
      <c r="C23" s="6"/>
      <c r="D23" s="6">
        <f>D22-10</f>
        <v>74</v>
      </c>
      <c r="E23" s="6">
        <f>E22-10</f>
        <v>76</v>
      </c>
      <c r="F23" s="6">
        <f>F22-8</f>
        <v>80</v>
      </c>
      <c r="G23" s="6">
        <f t="shared" ref="G23:O23" si="32">G22-8</f>
        <v>82</v>
      </c>
      <c r="H23" s="6">
        <f t="shared" si="32"/>
        <v>84</v>
      </c>
      <c r="I23" s="6">
        <f t="shared" si="32"/>
        <v>86</v>
      </c>
      <c r="J23" s="6">
        <f t="shared" si="32"/>
        <v>88</v>
      </c>
      <c r="K23" s="6">
        <f t="shared" si="32"/>
        <v>90</v>
      </c>
      <c r="L23" s="6">
        <f t="shared" si="32"/>
        <v>92</v>
      </c>
      <c r="M23" s="6">
        <f t="shared" si="32"/>
        <v>94</v>
      </c>
      <c r="N23" s="6">
        <f t="shared" si="32"/>
        <v>96</v>
      </c>
      <c r="O23" s="6">
        <f t="shared" si="32"/>
        <v>98</v>
      </c>
      <c r="P23" s="6">
        <f>P22-8</f>
        <v>100</v>
      </c>
      <c r="Q23" s="6">
        <f>Q22+6</f>
        <v>114</v>
      </c>
      <c r="R23" s="6">
        <f>R22-8</f>
        <v>102</v>
      </c>
      <c r="S23" s="6">
        <f>S22-10</f>
        <v>102</v>
      </c>
      <c r="T23" s="6">
        <f>T22+6</f>
        <v>118</v>
      </c>
      <c r="U23" s="6">
        <f>U22-10</f>
        <v>104</v>
      </c>
      <c r="V23" s="6">
        <f>V22+6</f>
        <v>120</v>
      </c>
      <c r="W23" s="6">
        <f>W22-10</f>
        <v>106</v>
      </c>
      <c r="X23" s="6">
        <f>X22+6</f>
        <v>122</v>
      </c>
      <c r="Y23" s="6">
        <f t="shared" ref="Y23:AB23" si="33">Y22-10</f>
        <v>108</v>
      </c>
      <c r="Z23" s="6">
        <f t="shared" si="33"/>
        <v>110</v>
      </c>
      <c r="AA23" s="6">
        <f t="shared" si="33"/>
        <v>112</v>
      </c>
      <c r="AB23" s="6">
        <f t="shared" si="33"/>
        <v>114</v>
      </c>
      <c r="AC23" s="6">
        <f>AC22+6</f>
        <v>130</v>
      </c>
      <c r="AD23" s="6">
        <f t="shared" ref="AD23:AE23" si="34">AD22-10</f>
        <v>116</v>
      </c>
      <c r="AE23" s="6">
        <f t="shared" si="34"/>
        <v>118</v>
      </c>
      <c r="AF23" s="6">
        <f>AF22+6</f>
        <v>134</v>
      </c>
      <c r="AG23" s="6">
        <f t="shared" ref="AG23:AJ23" si="35">AG22-10</f>
        <v>120</v>
      </c>
      <c r="AH23" s="6">
        <f t="shared" si="35"/>
        <v>122</v>
      </c>
      <c r="AI23" s="6">
        <f t="shared" si="35"/>
        <v>126</v>
      </c>
      <c r="AJ23" s="6">
        <f t="shared" si="35"/>
        <v>130</v>
      </c>
      <c r="AK23" s="6"/>
    </row>
    <row r="24" spans="1:37" ht="20" customHeight="1" x14ac:dyDescent="0.45">
      <c r="A24" s="3">
        <v>5</v>
      </c>
      <c r="B24" s="4" t="s">
        <v>10</v>
      </c>
      <c r="C24" s="3"/>
      <c r="D24" s="3">
        <f>D23+18</f>
        <v>92</v>
      </c>
      <c r="E24" s="3">
        <f>E23+18</f>
        <v>94</v>
      </c>
      <c r="F24" s="3">
        <f t="shared" ref="F24" si="36">F23+18</f>
        <v>98</v>
      </c>
      <c r="G24" s="3">
        <f t="shared" ref="G24:P24" si="37">G22-2</f>
        <v>88</v>
      </c>
      <c r="H24" s="3">
        <f t="shared" si="37"/>
        <v>90</v>
      </c>
      <c r="I24" s="3">
        <f t="shared" si="37"/>
        <v>92</v>
      </c>
      <c r="J24" s="3">
        <f t="shared" si="37"/>
        <v>94</v>
      </c>
      <c r="K24" s="3">
        <f t="shared" si="37"/>
        <v>96</v>
      </c>
      <c r="L24" s="3">
        <f t="shared" si="37"/>
        <v>98</v>
      </c>
      <c r="M24" s="3">
        <f t="shared" si="37"/>
        <v>100</v>
      </c>
      <c r="N24" s="3">
        <f t="shared" si="37"/>
        <v>102</v>
      </c>
      <c r="O24" s="3">
        <f t="shared" si="37"/>
        <v>104</v>
      </c>
      <c r="P24" s="3">
        <f t="shared" si="37"/>
        <v>106</v>
      </c>
      <c r="Q24" s="10">
        <f>Q23+8</f>
        <v>122</v>
      </c>
      <c r="R24" s="3">
        <f>R22-0</f>
        <v>110</v>
      </c>
      <c r="S24" s="3">
        <f>S22-0</f>
        <v>112</v>
      </c>
      <c r="T24" s="10">
        <f>T23+8</f>
        <v>126</v>
      </c>
      <c r="U24" s="3">
        <f>U22+2</f>
        <v>116</v>
      </c>
      <c r="V24" s="10">
        <f>V23+8</f>
        <v>128</v>
      </c>
      <c r="W24" s="3">
        <f>W22+2</f>
        <v>118</v>
      </c>
      <c r="X24" s="10">
        <f>X23+8</f>
        <v>130</v>
      </c>
      <c r="Y24" s="3">
        <f>Y22+2</f>
        <v>120</v>
      </c>
      <c r="Z24" s="3">
        <f>Z22+4</f>
        <v>124</v>
      </c>
      <c r="AA24" s="3">
        <f>AA22+4</f>
        <v>126</v>
      </c>
      <c r="AB24" s="3">
        <f>AB22+4</f>
        <v>128</v>
      </c>
      <c r="AC24" s="10">
        <f>AC23+8</f>
        <v>138</v>
      </c>
      <c r="AD24" s="3">
        <f>AD22+4</f>
        <v>130</v>
      </c>
      <c r="AE24" s="3">
        <f>AE22+4</f>
        <v>132</v>
      </c>
      <c r="AF24" s="10">
        <f>AF23+8</f>
        <v>142</v>
      </c>
      <c r="AG24" s="3">
        <f t="shared" ref="AG24:AJ24" si="38">AG22+4</f>
        <v>134</v>
      </c>
      <c r="AH24" s="3">
        <f t="shared" si="38"/>
        <v>136</v>
      </c>
      <c r="AI24" s="3">
        <f t="shared" si="38"/>
        <v>140</v>
      </c>
      <c r="AJ24" s="3">
        <f t="shared" si="38"/>
        <v>144</v>
      </c>
      <c r="AK24" s="3"/>
    </row>
    <row r="25" spans="1:37" ht="20" customHeight="1" x14ac:dyDescent="0.45">
      <c r="A25" s="3">
        <v>6</v>
      </c>
      <c r="B25" s="4" t="s">
        <v>2</v>
      </c>
      <c r="C25" s="3"/>
      <c r="D25" s="3">
        <v>68</v>
      </c>
      <c r="E25" s="3">
        <v>68</v>
      </c>
      <c r="F25" s="3">
        <v>68</v>
      </c>
      <c r="G25" s="3">
        <v>67</v>
      </c>
      <c r="H25" s="3">
        <v>67</v>
      </c>
      <c r="I25" s="3">
        <f t="shared" ref="I25:AB26" si="39">G25+1</f>
        <v>68</v>
      </c>
      <c r="J25" s="3">
        <f t="shared" si="39"/>
        <v>68</v>
      </c>
      <c r="K25" s="3">
        <f t="shared" si="39"/>
        <v>69</v>
      </c>
      <c r="L25" s="3">
        <f t="shared" si="39"/>
        <v>69</v>
      </c>
      <c r="M25" s="3">
        <f t="shared" si="39"/>
        <v>70</v>
      </c>
      <c r="N25" s="3">
        <f t="shared" si="39"/>
        <v>70</v>
      </c>
      <c r="O25" s="3">
        <f t="shared" si="39"/>
        <v>71</v>
      </c>
      <c r="P25" s="3">
        <f>M25+1</f>
        <v>71</v>
      </c>
      <c r="Q25" s="10">
        <f>N25+1</f>
        <v>71</v>
      </c>
      <c r="R25" s="3">
        <f>O25+1</f>
        <v>72</v>
      </c>
      <c r="S25" s="3">
        <f t="shared" si="39"/>
        <v>72</v>
      </c>
      <c r="T25" s="10">
        <f>Q25+1</f>
        <v>72</v>
      </c>
      <c r="U25" s="3">
        <f>R25+1</f>
        <v>73</v>
      </c>
      <c r="V25" s="10">
        <f>R25+1</f>
        <v>73</v>
      </c>
      <c r="W25" s="3">
        <f>S25+1</f>
        <v>73</v>
      </c>
      <c r="X25" s="10">
        <f>U25+2</f>
        <v>75</v>
      </c>
      <c r="Y25" s="3">
        <f>U25+1</f>
        <v>74</v>
      </c>
      <c r="Z25" s="3">
        <f>W25+1</f>
        <v>74</v>
      </c>
      <c r="AA25" s="3">
        <f t="shared" si="39"/>
        <v>75</v>
      </c>
      <c r="AB25" s="3">
        <f t="shared" si="39"/>
        <v>75</v>
      </c>
      <c r="AC25" s="10">
        <f>AA25+2</f>
        <v>77</v>
      </c>
      <c r="AD25" s="3">
        <f>AA25+1</f>
        <v>76</v>
      </c>
      <c r="AE25" s="3">
        <f>AB25+1</f>
        <v>76</v>
      </c>
      <c r="AF25" s="10">
        <f>AD25+1</f>
        <v>77</v>
      </c>
      <c r="AG25" s="3">
        <f>AD25+1</f>
        <v>77</v>
      </c>
      <c r="AH25" s="3">
        <f>AE25+1</f>
        <v>77</v>
      </c>
      <c r="AI25" s="3">
        <f t="shared" ref="AI25" si="40">AG25+1</f>
        <v>78</v>
      </c>
      <c r="AJ25" s="3">
        <f>AI25+1</f>
        <v>79</v>
      </c>
      <c r="AK25" s="3"/>
    </row>
    <row r="26" spans="1:37" ht="20" customHeight="1" x14ac:dyDescent="0.45">
      <c r="A26" s="3">
        <v>7</v>
      </c>
      <c r="B26" s="4" t="s">
        <v>5</v>
      </c>
      <c r="C26" s="3"/>
      <c r="D26" s="3">
        <v>41</v>
      </c>
      <c r="E26" s="3">
        <v>41</v>
      </c>
      <c r="F26" s="3">
        <v>42</v>
      </c>
      <c r="G26" s="3">
        <v>46</v>
      </c>
      <c r="H26" s="3">
        <v>46</v>
      </c>
      <c r="I26" s="3">
        <f>G26+1</f>
        <v>47</v>
      </c>
      <c r="J26" s="3">
        <f>H26+1</f>
        <v>47</v>
      </c>
      <c r="K26" s="3">
        <f>I26+1</f>
        <v>48</v>
      </c>
      <c r="L26" s="3">
        <f>J26+1</f>
        <v>48</v>
      </c>
      <c r="M26" s="3">
        <f t="shared" si="39"/>
        <v>49</v>
      </c>
      <c r="N26" s="3">
        <f t="shared" si="39"/>
        <v>49</v>
      </c>
      <c r="O26" s="3">
        <f t="shared" si="39"/>
        <v>50</v>
      </c>
      <c r="P26" s="3">
        <f>M26+1</f>
        <v>50</v>
      </c>
      <c r="Q26" s="10">
        <f>P26+2</f>
        <v>52</v>
      </c>
      <c r="R26" s="3">
        <f>O26+1</f>
        <v>51</v>
      </c>
      <c r="S26" s="3">
        <f>P26+1</f>
        <v>51</v>
      </c>
      <c r="T26" s="10">
        <f>S26+2</f>
        <v>53</v>
      </c>
      <c r="U26" s="3">
        <f>R26+2</f>
        <v>53</v>
      </c>
      <c r="V26" s="10">
        <f>U26+2</f>
        <v>55</v>
      </c>
      <c r="W26" s="3">
        <f>S26+2</f>
        <v>53</v>
      </c>
      <c r="X26" s="10">
        <f>W26+2</f>
        <v>55</v>
      </c>
      <c r="Y26" s="3">
        <f>U26+1</f>
        <v>54</v>
      </c>
      <c r="Z26" s="3">
        <f>Y26+1</f>
        <v>55</v>
      </c>
      <c r="AA26" s="3">
        <f>Y26+1</f>
        <v>55</v>
      </c>
      <c r="AB26" s="3">
        <f>Z26+1</f>
        <v>56</v>
      </c>
      <c r="AC26" s="10">
        <f>AB26+2</f>
        <v>58</v>
      </c>
      <c r="AD26" s="3">
        <f>AB26+2</f>
        <v>58</v>
      </c>
      <c r="AE26" s="3">
        <f>AD26+1</f>
        <v>59</v>
      </c>
      <c r="AF26" s="10">
        <f>AE26+2</f>
        <v>61</v>
      </c>
      <c r="AG26" s="3">
        <f>AF26+1</f>
        <v>62</v>
      </c>
      <c r="AH26" s="3">
        <f t="shared" ref="AH26" si="41">AF26+2</f>
        <v>63</v>
      </c>
      <c r="AI26" s="3">
        <f>AG26+1</f>
        <v>63</v>
      </c>
      <c r="AJ26" s="3">
        <f>AI26+2</f>
        <v>65</v>
      </c>
      <c r="AK26" s="3"/>
    </row>
    <row r="27" spans="1:37" ht="20" customHeight="1" x14ac:dyDescent="0.45">
      <c r="A27" s="3">
        <v>8</v>
      </c>
      <c r="B27" s="4" t="s">
        <v>4</v>
      </c>
      <c r="C27" s="3"/>
      <c r="D27" s="3">
        <v>30</v>
      </c>
      <c r="E27" s="3">
        <v>30</v>
      </c>
      <c r="F27" s="3">
        <v>31</v>
      </c>
      <c r="G27" s="3">
        <f>G26-14</f>
        <v>32</v>
      </c>
      <c r="H27" s="3">
        <f t="shared" ref="H27:AJ27" si="42">H26-14</f>
        <v>32</v>
      </c>
      <c r="I27" s="3">
        <f t="shared" si="42"/>
        <v>33</v>
      </c>
      <c r="J27" s="3">
        <f t="shared" si="42"/>
        <v>33</v>
      </c>
      <c r="K27" s="3">
        <f t="shared" si="42"/>
        <v>34</v>
      </c>
      <c r="L27" s="3">
        <f t="shared" si="42"/>
        <v>34</v>
      </c>
      <c r="M27" s="3">
        <f t="shared" si="42"/>
        <v>35</v>
      </c>
      <c r="N27" s="3">
        <f t="shared" si="42"/>
        <v>35</v>
      </c>
      <c r="O27" s="3">
        <f t="shared" si="42"/>
        <v>36</v>
      </c>
      <c r="P27" s="3">
        <f t="shared" si="42"/>
        <v>36</v>
      </c>
      <c r="Q27" s="10">
        <f t="shared" si="42"/>
        <v>38</v>
      </c>
      <c r="R27" s="3">
        <f t="shared" si="42"/>
        <v>37</v>
      </c>
      <c r="S27" s="3">
        <f t="shared" si="42"/>
        <v>37</v>
      </c>
      <c r="T27" s="10">
        <f t="shared" si="42"/>
        <v>39</v>
      </c>
      <c r="U27" s="3">
        <f t="shared" si="42"/>
        <v>39</v>
      </c>
      <c r="V27" s="10">
        <f t="shared" si="42"/>
        <v>41</v>
      </c>
      <c r="W27" s="3">
        <f t="shared" si="42"/>
        <v>39</v>
      </c>
      <c r="X27" s="10">
        <f t="shared" si="42"/>
        <v>41</v>
      </c>
      <c r="Y27" s="3">
        <f t="shared" si="42"/>
        <v>40</v>
      </c>
      <c r="Z27" s="3">
        <f t="shared" si="42"/>
        <v>41</v>
      </c>
      <c r="AA27" s="3">
        <f t="shared" si="42"/>
        <v>41</v>
      </c>
      <c r="AB27" s="3">
        <f t="shared" si="42"/>
        <v>42</v>
      </c>
      <c r="AC27" s="10">
        <f t="shared" si="42"/>
        <v>44</v>
      </c>
      <c r="AD27" s="3">
        <f t="shared" si="42"/>
        <v>44</v>
      </c>
      <c r="AE27" s="3">
        <f t="shared" si="42"/>
        <v>45</v>
      </c>
      <c r="AF27" s="10">
        <f t="shared" si="42"/>
        <v>47</v>
      </c>
      <c r="AG27" s="3">
        <f>AG26-14</f>
        <v>48</v>
      </c>
      <c r="AH27" s="3">
        <f t="shared" si="42"/>
        <v>49</v>
      </c>
      <c r="AI27" s="3">
        <f t="shared" si="42"/>
        <v>49</v>
      </c>
      <c r="AJ27" s="3">
        <f t="shared" si="42"/>
        <v>51</v>
      </c>
      <c r="AK27" s="3"/>
    </row>
    <row r="28" spans="1:37" ht="20" customHeight="1" x14ac:dyDescent="0.45">
      <c r="A28" s="3">
        <v>9</v>
      </c>
      <c r="B28" s="4" t="s">
        <v>3</v>
      </c>
      <c r="C28" s="3"/>
      <c r="D28" s="3">
        <v>22</v>
      </c>
      <c r="E28" s="3">
        <v>22</v>
      </c>
      <c r="F28" s="3">
        <v>22</v>
      </c>
      <c r="G28" s="3">
        <v>22</v>
      </c>
      <c r="H28" s="3">
        <v>22</v>
      </c>
      <c r="I28" s="3">
        <v>22</v>
      </c>
      <c r="J28" s="3">
        <v>22</v>
      </c>
      <c r="K28" s="3">
        <v>23</v>
      </c>
      <c r="L28" s="3">
        <v>23</v>
      </c>
      <c r="M28" s="3">
        <v>23</v>
      </c>
      <c r="N28" s="3">
        <v>23</v>
      </c>
      <c r="O28" s="3">
        <v>24</v>
      </c>
      <c r="P28" s="3">
        <v>24</v>
      </c>
      <c r="Q28" s="10">
        <v>24</v>
      </c>
      <c r="R28" s="3">
        <v>25</v>
      </c>
      <c r="S28" s="3">
        <v>24</v>
      </c>
      <c r="T28" s="10">
        <v>24</v>
      </c>
      <c r="U28" s="3">
        <v>24</v>
      </c>
      <c r="V28" s="10">
        <v>25</v>
      </c>
      <c r="W28" s="3">
        <v>25</v>
      </c>
      <c r="X28" s="10">
        <v>25</v>
      </c>
      <c r="Y28" s="3">
        <v>25</v>
      </c>
      <c r="Z28" s="3">
        <v>25</v>
      </c>
      <c r="AA28" s="3">
        <v>25</v>
      </c>
      <c r="AB28" s="3">
        <v>25</v>
      </c>
      <c r="AC28" s="10">
        <v>26</v>
      </c>
      <c r="AD28" s="3">
        <v>26</v>
      </c>
      <c r="AE28" s="3">
        <v>26</v>
      </c>
      <c r="AF28" s="10">
        <v>26</v>
      </c>
      <c r="AG28" s="3">
        <v>26</v>
      </c>
      <c r="AH28" s="3">
        <v>25</v>
      </c>
      <c r="AI28" s="3">
        <v>26</v>
      </c>
      <c r="AJ28" s="3">
        <v>27</v>
      </c>
      <c r="AK28" s="3"/>
    </row>
    <row r="29" spans="1:37" x14ac:dyDescent="0.45"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</row>
    <row r="30" spans="1:37" ht="15.75" x14ac:dyDescent="0.45">
      <c r="A30" s="69" t="s">
        <v>139</v>
      </c>
      <c r="B30" s="69"/>
      <c r="C30" s="69"/>
    </row>
    <row r="31" spans="1:37" s="12" customFormat="1" ht="15.75" x14ac:dyDescent="0.45">
      <c r="A31" s="57" t="s">
        <v>7</v>
      </c>
      <c r="B31" s="57" t="s">
        <v>6</v>
      </c>
      <c r="C31" s="60" t="s">
        <v>13</v>
      </c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</row>
    <row r="32" spans="1:37" s="12" customFormat="1" ht="15.75" x14ac:dyDescent="0.45">
      <c r="A32" s="58"/>
      <c r="B32" s="58"/>
      <c r="C32" s="20">
        <v>1</v>
      </c>
      <c r="D32" s="20">
        <v>2</v>
      </c>
      <c r="E32" s="20">
        <v>3</v>
      </c>
      <c r="F32" s="20">
        <v>4</v>
      </c>
      <c r="G32" s="20">
        <v>1</v>
      </c>
      <c r="H32" s="20">
        <v>2</v>
      </c>
      <c r="I32" s="20">
        <v>3</v>
      </c>
      <c r="J32" s="20">
        <v>4</v>
      </c>
      <c r="K32" s="20">
        <v>5</v>
      </c>
      <c r="L32" s="20">
        <v>6</v>
      </c>
      <c r="M32" s="20">
        <v>7</v>
      </c>
      <c r="N32" s="20">
        <v>8</v>
      </c>
      <c r="O32" s="20">
        <v>9</v>
      </c>
      <c r="P32" s="20">
        <v>10</v>
      </c>
      <c r="Q32" s="20">
        <v>11</v>
      </c>
      <c r="R32" s="20">
        <v>12</v>
      </c>
      <c r="S32" s="20">
        <v>13</v>
      </c>
      <c r="T32" s="20">
        <v>14</v>
      </c>
      <c r="U32" s="20">
        <v>15</v>
      </c>
      <c r="V32" s="20">
        <v>16</v>
      </c>
      <c r="W32" s="20">
        <v>17</v>
      </c>
      <c r="X32" s="20">
        <v>18</v>
      </c>
      <c r="Y32" s="20">
        <v>19</v>
      </c>
      <c r="Z32" s="20">
        <v>20</v>
      </c>
      <c r="AA32" s="20">
        <v>21</v>
      </c>
      <c r="AB32" s="20">
        <v>22</v>
      </c>
      <c r="AC32" s="20">
        <v>23</v>
      </c>
      <c r="AD32" s="20">
        <v>24</v>
      </c>
      <c r="AE32" s="20">
        <v>25</v>
      </c>
      <c r="AF32" s="20">
        <v>26</v>
      </c>
      <c r="AG32" s="20">
        <v>27</v>
      </c>
      <c r="AH32" s="20">
        <v>28</v>
      </c>
      <c r="AI32" s="20">
        <v>29</v>
      </c>
      <c r="AJ32" s="20">
        <v>30</v>
      </c>
      <c r="AK32" s="20">
        <v>31</v>
      </c>
    </row>
    <row r="33" spans="1:37" s="13" customFormat="1" ht="19.05" customHeight="1" x14ac:dyDescent="0.45">
      <c r="A33" s="59"/>
      <c r="B33" s="59"/>
      <c r="C33" s="11"/>
      <c r="D33" s="11"/>
      <c r="E33" s="11"/>
      <c r="F33" s="11"/>
      <c r="G33" s="11" t="s">
        <v>166</v>
      </c>
      <c r="H33" s="11" t="s">
        <v>167</v>
      </c>
      <c r="I33" s="11" t="s">
        <v>65</v>
      </c>
      <c r="J33" s="11" t="s">
        <v>66</v>
      </c>
      <c r="K33" s="11" t="s">
        <v>67</v>
      </c>
      <c r="L33" s="11" t="s">
        <v>68</v>
      </c>
      <c r="M33" s="11" t="s">
        <v>69</v>
      </c>
      <c r="N33" s="11" t="s">
        <v>70</v>
      </c>
      <c r="O33" s="11" t="s">
        <v>71</v>
      </c>
      <c r="P33" s="11" t="s">
        <v>72</v>
      </c>
      <c r="Q33" s="56" t="s">
        <v>202</v>
      </c>
      <c r="R33" s="11" t="s">
        <v>74</v>
      </c>
      <c r="S33" s="11" t="s">
        <v>76</v>
      </c>
      <c r="T33" s="56" t="s">
        <v>207</v>
      </c>
      <c r="U33" s="11" t="s">
        <v>77</v>
      </c>
      <c r="V33" s="56" t="s">
        <v>205</v>
      </c>
      <c r="W33" s="11" t="s">
        <v>78</v>
      </c>
      <c r="X33" s="56" t="s">
        <v>196</v>
      </c>
      <c r="Y33" s="11" t="s">
        <v>80</v>
      </c>
      <c r="Z33" s="11" t="s">
        <v>82</v>
      </c>
      <c r="AA33" s="11" t="s">
        <v>185</v>
      </c>
      <c r="AB33" s="11" t="s">
        <v>186</v>
      </c>
      <c r="AC33" s="56" t="s">
        <v>197</v>
      </c>
      <c r="AD33" s="11" t="s">
        <v>187</v>
      </c>
      <c r="AE33" s="11" t="s">
        <v>188</v>
      </c>
      <c r="AF33" s="56" t="s">
        <v>200</v>
      </c>
      <c r="AG33" s="11" t="s">
        <v>189</v>
      </c>
      <c r="AH33" s="11" t="s">
        <v>190</v>
      </c>
      <c r="AI33" s="11" t="s">
        <v>193</v>
      </c>
      <c r="AJ33" s="11" t="s">
        <v>194</v>
      </c>
      <c r="AK33" s="11"/>
    </row>
    <row r="34" spans="1:37" ht="20" customHeight="1" x14ac:dyDescent="0.45">
      <c r="A34" s="3">
        <v>1</v>
      </c>
      <c r="B34" s="4" t="s">
        <v>0</v>
      </c>
      <c r="C34" s="3"/>
      <c r="D34" s="3"/>
      <c r="E34" s="3">
        <v>39</v>
      </c>
      <c r="F34" s="3"/>
      <c r="G34" s="53">
        <f>(G36/4)+13+7</f>
        <v>42.5</v>
      </c>
      <c r="H34" s="53">
        <f t="shared" ref="H34:AJ34" si="43">(H36/4)+13+7</f>
        <v>43</v>
      </c>
      <c r="I34" s="53">
        <f t="shared" si="43"/>
        <v>43.5</v>
      </c>
      <c r="J34" s="53">
        <f t="shared" si="43"/>
        <v>44</v>
      </c>
      <c r="K34" s="53">
        <f t="shared" si="43"/>
        <v>44.5</v>
      </c>
      <c r="L34" s="53">
        <f t="shared" si="43"/>
        <v>45</v>
      </c>
      <c r="M34" s="53">
        <f t="shared" si="43"/>
        <v>45.5</v>
      </c>
      <c r="N34" s="53">
        <f t="shared" si="43"/>
        <v>46</v>
      </c>
      <c r="O34" s="53">
        <f t="shared" si="43"/>
        <v>46.5</v>
      </c>
      <c r="P34" s="53">
        <f t="shared" ref="P34" si="44">(P36/4)+13+7</f>
        <v>47</v>
      </c>
      <c r="Q34" s="21">
        <f t="shared" si="43"/>
        <v>47</v>
      </c>
      <c r="R34" s="53">
        <f t="shared" si="43"/>
        <v>47.5</v>
      </c>
      <c r="S34" s="53">
        <f t="shared" si="43"/>
        <v>48</v>
      </c>
      <c r="T34" s="21">
        <f t="shared" ref="T34" si="45">(T36/4)+13+7</f>
        <v>48</v>
      </c>
      <c r="U34" s="53">
        <f t="shared" ref="U34:V34" si="46">(U36/4)+13+7</f>
        <v>48.5</v>
      </c>
      <c r="V34" s="21">
        <f t="shared" si="46"/>
        <v>48.5</v>
      </c>
      <c r="W34" s="53">
        <f t="shared" si="43"/>
        <v>49</v>
      </c>
      <c r="X34" s="21">
        <f t="shared" ref="X34" si="47">(X36/4)+13+7</f>
        <v>49</v>
      </c>
      <c r="Y34" s="53">
        <f t="shared" si="43"/>
        <v>49.5</v>
      </c>
      <c r="Z34" s="53">
        <f t="shared" si="43"/>
        <v>50</v>
      </c>
      <c r="AA34" s="53">
        <f t="shared" si="43"/>
        <v>50.5</v>
      </c>
      <c r="AB34" s="53">
        <f t="shared" si="43"/>
        <v>51</v>
      </c>
      <c r="AC34" s="21">
        <f t="shared" ref="AC34" si="48">(AC36/4)+13+7</f>
        <v>51</v>
      </c>
      <c r="AD34" s="53">
        <f t="shared" si="43"/>
        <v>51.5</v>
      </c>
      <c r="AE34" s="53">
        <f t="shared" si="43"/>
        <v>52</v>
      </c>
      <c r="AF34" s="21">
        <f>(AF36/4)+13+7</f>
        <v>52</v>
      </c>
      <c r="AG34" s="53">
        <f t="shared" si="43"/>
        <v>52.5</v>
      </c>
      <c r="AH34" s="53">
        <f t="shared" si="43"/>
        <v>53</v>
      </c>
      <c r="AI34" s="53">
        <f t="shared" si="43"/>
        <v>54</v>
      </c>
      <c r="AJ34" s="53">
        <f t="shared" si="43"/>
        <v>55</v>
      </c>
      <c r="AK34" s="3"/>
    </row>
    <row r="35" spans="1:37" ht="20" customHeight="1" x14ac:dyDescent="0.45">
      <c r="A35" s="3">
        <v>2</v>
      </c>
      <c r="B35" s="4" t="s">
        <v>1</v>
      </c>
      <c r="C35" s="3"/>
      <c r="D35" s="3"/>
      <c r="E35" s="3">
        <f t="shared" ref="E35:O41" si="49">E21</f>
        <v>38</v>
      </c>
      <c r="F35" s="3">
        <f t="shared" si="49"/>
        <v>39</v>
      </c>
      <c r="G35" s="3">
        <f>G21</f>
        <v>37</v>
      </c>
      <c r="H35" s="3">
        <f t="shared" ref="H35:O36" si="50">H21</f>
        <v>38</v>
      </c>
      <c r="I35" s="3">
        <f t="shared" si="50"/>
        <v>38</v>
      </c>
      <c r="J35" s="3">
        <f t="shared" si="50"/>
        <v>39</v>
      </c>
      <c r="K35" s="3">
        <f t="shared" si="50"/>
        <v>39</v>
      </c>
      <c r="L35" s="3">
        <f t="shared" si="50"/>
        <v>40</v>
      </c>
      <c r="M35" s="3">
        <f t="shared" si="50"/>
        <v>40</v>
      </c>
      <c r="N35" s="3">
        <f t="shared" si="50"/>
        <v>41</v>
      </c>
      <c r="O35" s="3">
        <f t="shared" si="50"/>
        <v>41</v>
      </c>
      <c r="P35" s="3">
        <f t="shared" ref="P35:T36" si="51">P21</f>
        <v>42</v>
      </c>
      <c r="Q35" s="10">
        <f t="shared" si="51"/>
        <v>43</v>
      </c>
      <c r="R35" s="3">
        <f t="shared" si="51"/>
        <v>42</v>
      </c>
      <c r="S35" s="3">
        <f t="shared" si="51"/>
        <v>43</v>
      </c>
      <c r="T35" s="10">
        <f t="shared" si="51"/>
        <v>44</v>
      </c>
      <c r="U35" s="3">
        <f>S21</f>
        <v>43</v>
      </c>
      <c r="V35" s="10">
        <f t="shared" ref="V35:AJ35" si="52">V21</f>
        <v>44</v>
      </c>
      <c r="W35" s="3">
        <f t="shared" si="52"/>
        <v>44</v>
      </c>
      <c r="X35" s="10">
        <f t="shared" si="52"/>
        <v>45</v>
      </c>
      <c r="Y35" s="3">
        <f t="shared" si="52"/>
        <v>44</v>
      </c>
      <c r="Z35" s="3">
        <f t="shared" si="52"/>
        <v>45</v>
      </c>
      <c r="AA35" s="3">
        <f t="shared" si="52"/>
        <v>45</v>
      </c>
      <c r="AB35" s="3">
        <f t="shared" si="52"/>
        <v>46</v>
      </c>
      <c r="AC35" s="10">
        <f t="shared" si="52"/>
        <v>47</v>
      </c>
      <c r="AD35" s="3">
        <f t="shared" si="52"/>
        <v>46</v>
      </c>
      <c r="AE35" s="3">
        <f t="shared" si="52"/>
        <v>47</v>
      </c>
      <c r="AF35" s="10">
        <f t="shared" si="52"/>
        <v>48</v>
      </c>
      <c r="AG35" s="3">
        <f t="shared" si="52"/>
        <v>48</v>
      </c>
      <c r="AH35" s="3">
        <f t="shared" si="52"/>
        <v>48</v>
      </c>
      <c r="AI35" s="3">
        <f t="shared" si="52"/>
        <v>49</v>
      </c>
      <c r="AJ35" s="3">
        <f t="shared" si="52"/>
        <v>50</v>
      </c>
      <c r="AK35" s="3"/>
    </row>
    <row r="36" spans="1:37" ht="20" customHeight="1" x14ac:dyDescent="0.45">
      <c r="A36" s="3">
        <v>3</v>
      </c>
      <c r="B36" s="4" t="s">
        <v>8</v>
      </c>
      <c r="C36" s="3">
        <f t="shared" ref="C36:D38" si="53">C22</f>
        <v>82</v>
      </c>
      <c r="D36" s="6">
        <f t="shared" si="53"/>
        <v>84</v>
      </c>
      <c r="E36" s="9">
        <f t="shared" si="49"/>
        <v>86</v>
      </c>
      <c r="F36" s="9">
        <f t="shared" si="49"/>
        <v>88</v>
      </c>
      <c r="G36" s="3">
        <f>G22</f>
        <v>90</v>
      </c>
      <c r="H36" s="3">
        <f t="shared" si="49"/>
        <v>92</v>
      </c>
      <c r="I36" s="3">
        <f t="shared" ref="I36" si="54">H36+2</f>
        <v>94</v>
      </c>
      <c r="J36" s="3">
        <f t="shared" si="50"/>
        <v>96</v>
      </c>
      <c r="K36" s="3">
        <f t="shared" si="50"/>
        <v>98</v>
      </c>
      <c r="L36" s="3">
        <f t="shared" si="50"/>
        <v>100</v>
      </c>
      <c r="M36" s="3">
        <f t="shared" si="50"/>
        <v>102</v>
      </c>
      <c r="N36" s="3">
        <f t="shared" si="50"/>
        <v>104</v>
      </c>
      <c r="O36" s="3">
        <f t="shared" si="50"/>
        <v>106</v>
      </c>
      <c r="P36" s="3">
        <f t="shared" si="51"/>
        <v>108</v>
      </c>
      <c r="Q36" s="10">
        <f t="shared" si="51"/>
        <v>108</v>
      </c>
      <c r="R36" s="3">
        <f t="shared" si="51"/>
        <v>110</v>
      </c>
      <c r="S36" s="3">
        <f t="shared" si="51"/>
        <v>112</v>
      </c>
      <c r="T36" s="10">
        <f t="shared" si="51"/>
        <v>112</v>
      </c>
      <c r="U36" s="3">
        <f>U22</f>
        <v>114</v>
      </c>
      <c r="V36" s="10">
        <f t="shared" ref="V36:AJ36" si="55">V22</f>
        <v>114</v>
      </c>
      <c r="W36" s="3">
        <f t="shared" si="55"/>
        <v>116</v>
      </c>
      <c r="X36" s="10">
        <f t="shared" si="55"/>
        <v>116</v>
      </c>
      <c r="Y36" s="3">
        <f t="shared" si="55"/>
        <v>118</v>
      </c>
      <c r="Z36" s="3">
        <f t="shared" si="55"/>
        <v>120</v>
      </c>
      <c r="AA36" s="3">
        <f t="shared" si="55"/>
        <v>122</v>
      </c>
      <c r="AB36" s="3">
        <f t="shared" si="55"/>
        <v>124</v>
      </c>
      <c r="AC36" s="10">
        <f t="shared" si="55"/>
        <v>124</v>
      </c>
      <c r="AD36" s="3">
        <f t="shared" si="55"/>
        <v>126</v>
      </c>
      <c r="AE36" s="3">
        <f t="shared" si="55"/>
        <v>128</v>
      </c>
      <c r="AF36" s="10">
        <f t="shared" si="55"/>
        <v>128</v>
      </c>
      <c r="AG36" s="3">
        <f t="shared" si="55"/>
        <v>130</v>
      </c>
      <c r="AH36" s="3">
        <f t="shared" si="55"/>
        <v>132</v>
      </c>
      <c r="AI36" s="3">
        <f t="shared" si="55"/>
        <v>136</v>
      </c>
      <c r="AJ36" s="3">
        <f t="shared" si="55"/>
        <v>140</v>
      </c>
      <c r="AK36" s="3"/>
    </row>
    <row r="37" spans="1:37" ht="20" customHeight="1" x14ac:dyDescent="0.45">
      <c r="A37" s="3">
        <v>4</v>
      </c>
      <c r="B37" s="4" t="s">
        <v>9</v>
      </c>
      <c r="C37" s="3">
        <f t="shared" si="53"/>
        <v>0</v>
      </c>
      <c r="D37" s="3">
        <f t="shared" si="53"/>
        <v>74</v>
      </c>
      <c r="E37" s="3">
        <f t="shared" si="49"/>
        <v>76</v>
      </c>
      <c r="F37" s="3">
        <f t="shared" si="49"/>
        <v>80</v>
      </c>
      <c r="G37" s="3">
        <f>G23</f>
        <v>82</v>
      </c>
      <c r="H37" s="3">
        <f t="shared" si="49"/>
        <v>84</v>
      </c>
      <c r="I37" s="3">
        <f t="shared" si="49"/>
        <v>86</v>
      </c>
      <c r="J37" s="3">
        <f t="shared" si="49"/>
        <v>88</v>
      </c>
      <c r="K37" s="3">
        <f t="shared" si="49"/>
        <v>90</v>
      </c>
      <c r="L37" s="3">
        <f t="shared" si="49"/>
        <v>92</v>
      </c>
      <c r="M37" s="3">
        <f t="shared" si="49"/>
        <v>94</v>
      </c>
      <c r="N37" s="3">
        <f t="shared" si="49"/>
        <v>96</v>
      </c>
      <c r="O37" s="3">
        <f t="shared" si="49"/>
        <v>98</v>
      </c>
      <c r="P37" s="3">
        <f>P23</f>
        <v>100</v>
      </c>
      <c r="Q37" s="10">
        <f t="shared" ref="Q37:S37" si="56">Q23</f>
        <v>114</v>
      </c>
      <c r="R37" s="3">
        <f t="shared" si="56"/>
        <v>102</v>
      </c>
      <c r="S37" s="3">
        <f t="shared" si="56"/>
        <v>102</v>
      </c>
      <c r="T37" s="10">
        <f t="shared" ref="T37" si="57">T23</f>
        <v>118</v>
      </c>
      <c r="U37" s="3">
        <f>U23</f>
        <v>104</v>
      </c>
      <c r="V37" s="10">
        <f t="shared" ref="V37:AJ37" si="58">V23</f>
        <v>120</v>
      </c>
      <c r="W37" s="3">
        <f t="shared" si="58"/>
        <v>106</v>
      </c>
      <c r="X37" s="10">
        <f t="shared" si="58"/>
        <v>122</v>
      </c>
      <c r="Y37" s="3">
        <f t="shared" si="58"/>
        <v>108</v>
      </c>
      <c r="Z37" s="3">
        <f t="shared" si="58"/>
        <v>110</v>
      </c>
      <c r="AA37" s="3">
        <f t="shared" si="58"/>
        <v>112</v>
      </c>
      <c r="AB37" s="3">
        <f t="shared" si="58"/>
        <v>114</v>
      </c>
      <c r="AC37" s="10">
        <f t="shared" si="58"/>
        <v>130</v>
      </c>
      <c r="AD37" s="3">
        <f t="shared" si="58"/>
        <v>116</v>
      </c>
      <c r="AE37" s="3">
        <f t="shared" si="58"/>
        <v>118</v>
      </c>
      <c r="AF37" s="10">
        <f t="shared" si="58"/>
        <v>134</v>
      </c>
      <c r="AG37" s="3">
        <f t="shared" si="58"/>
        <v>120</v>
      </c>
      <c r="AH37" s="3">
        <f t="shared" si="58"/>
        <v>122</v>
      </c>
      <c r="AI37" s="3">
        <f t="shared" si="58"/>
        <v>126</v>
      </c>
      <c r="AJ37" s="3">
        <f t="shared" si="58"/>
        <v>130</v>
      </c>
      <c r="AK37" s="3"/>
    </row>
    <row r="38" spans="1:37" ht="20" customHeight="1" x14ac:dyDescent="0.45">
      <c r="A38" s="3">
        <v>5</v>
      </c>
      <c r="B38" s="4" t="s">
        <v>10</v>
      </c>
      <c r="C38" s="3">
        <f t="shared" si="53"/>
        <v>0</v>
      </c>
      <c r="D38" s="3">
        <f t="shared" si="53"/>
        <v>92</v>
      </c>
      <c r="E38" s="3">
        <f t="shared" si="49"/>
        <v>94</v>
      </c>
      <c r="F38" s="3">
        <f t="shared" si="49"/>
        <v>98</v>
      </c>
      <c r="G38" s="3">
        <f>G24</f>
        <v>88</v>
      </c>
      <c r="H38" s="3">
        <f t="shared" ref="H38:S38" si="59">H24</f>
        <v>90</v>
      </c>
      <c r="I38" s="3">
        <f t="shared" si="59"/>
        <v>92</v>
      </c>
      <c r="J38" s="3">
        <f t="shared" si="59"/>
        <v>94</v>
      </c>
      <c r="K38" s="3">
        <f t="shared" si="59"/>
        <v>96</v>
      </c>
      <c r="L38" s="3">
        <f t="shared" si="59"/>
        <v>98</v>
      </c>
      <c r="M38" s="3">
        <f t="shared" si="59"/>
        <v>100</v>
      </c>
      <c r="N38" s="3">
        <f t="shared" si="59"/>
        <v>102</v>
      </c>
      <c r="O38" s="3">
        <f t="shared" si="59"/>
        <v>104</v>
      </c>
      <c r="P38" s="3">
        <f t="shared" si="59"/>
        <v>106</v>
      </c>
      <c r="Q38" s="10">
        <f t="shared" si="59"/>
        <v>122</v>
      </c>
      <c r="R38" s="3">
        <f t="shared" si="59"/>
        <v>110</v>
      </c>
      <c r="S38" s="3">
        <f t="shared" si="59"/>
        <v>112</v>
      </c>
      <c r="T38" s="10">
        <f t="shared" ref="T38" si="60">T24</f>
        <v>126</v>
      </c>
      <c r="U38" s="3">
        <f>U24</f>
        <v>116</v>
      </c>
      <c r="V38" s="10">
        <f t="shared" ref="V38:AJ38" si="61">V24</f>
        <v>128</v>
      </c>
      <c r="W38" s="3">
        <f t="shared" si="61"/>
        <v>118</v>
      </c>
      <c r="X38" s="10">
        <f t="shared" si="61"/>
        <v>130</v>
      </c>
      <c r="Y38" s="3">
        <f t="shared" si="61"/>
        <v>120</v>
      </c>
      <c r="Z38" s="3">
        <f t="shared" si="61"/>
        <v>124</v>
      </c>
      <c r="AA38" s="3">
        <f t="shared" si="61"/>
        <v>126</v>
      </c>
      <c r="AB38" s="3">
        <f t="shared" si="61"/>
        <v>128</v>
      </c>
      <c r="AC38" s="10">
        <f t="shared" si="61"/>
        <v>138</v>
      </c>
      <c r="AD38" s="3">
        <f t="shared" si="61"/>
        <v>130</v>
      </c>
      <c r="AE38" s="3">
        <f t="shared" si="61"/>
        <v>132</v>
      </c>
      <c r="AF38" s="10">
        <f t="shared" si="61"/>
        <v>142</v>
      </c>
      <c r="AG38" s="3">
        <f t="shared" si="61"/>
        <v>134</v>
      </c>
      <c r="AH38" s="3">
        <f t="shared" si="61"/>
        <v>136</v>
      </c>
      <c r="AI38" s="3">
        <f t="shared" si="61"/>
        <v>140</v>
      </c>
      <c r="AJ38" s="3">
        <f t="shared" si="61"/>
        <v>144</v>
      </c>
      <c r="AK38" s="3"/>
    </row>
    <row r="39" spans="1:37" ht="20" customHeight="1" x14ac:dyDescent="0.45">
      <c r="A39" s="3">
        <v>6</v>
      </c>
      <c r="B39" s="4" t="s">
        <v>2</v>
      </c>
      <c r="C39" s="3"/>
      <c r="D39" s="3"/>
      <c r="E39" s="3">
        <f t="shared" si="49"/>
        <v>68</v>
      </c>
      <c r="F39" s="3"/>
      <c r="G39" s="3">
        <f>G25+2</f>
        <v>69</v>
      </c>
      <c r="H39" s="3">
        <f t="shared" ref="H39:O39" si="62">H25+2</f>
        <v>69</v>
      </c>
      <c r="I39" s="3">
        <f t="shared" si="62"/>
        <v>70</v>
      </c>
      <c r="J39" s="3">
        <f t="shared" si="62"/>
        <v>70</v>
      </c>
      <c r="K39" s="3">
        <f t="shared" si="62"/>
        <v>71</v>
      </c>
      <c r="L39" s="3">
        <f t="shared" si="62"/>
        <v>71</v>
      </c>
      <c r="M39" s="3">
        <f t="shared" si="62"/>
        <v>72</v>
      </c>
      <c r="N39" s="3">
        <f t="shared" si="62"/>
        <v>72</v>
      </c>
      <c r="O39" s="3">
        <f t="shared" si="62"/>
        <v>73</v>
      </c>
      <c r="P39" s="3">
        <f>P25+2</f>
        <v>73</v>
      </c>
      <c r="Q39" s="10">
        <f>Q25+2</f>
        <v>73</v>
      </c>
      <c r="R39" s="3">
        <f>R25+2</f>
        <v>74</v>
      </c>
      <c r="S39" s="3">
        <f>S25+2</f>
        <v>74</v>
      </c>
      <c r="T39" s="10">
        <f>T25+2</f>
        <v>74</v>
      </c>
      <c r="U39" s="3">
        <f>S25+2</f>
        <v>74</v>
      </c>
      <c r="V39" s="10">
        <f t="shared" ref="V39:AE39" si="63">V25+2</f>
        <v>75</v>
      </c>
      <c r="W39" s="3">
        <f t="shared" si="63"/>
        <v>75</v>
      </c>
      <c r="X39" s="10">
        <f t="shared" si="63"/>
        <v>77</v>
      </c>
      <c r="Y39" s="3">
        <f t="shared" si="63"/>
        <v>76</v>
      </c>
      <c r="Z39" s="3">
        <f t="shared" si="63"/>
        <v>76</v>
      </c>
      <c r="AA39" s="3">
        <f t="shared" si="63"/>
        <v>77</v>
      </c>
      <c r="AB39" s="3">
        <f t="shared" si="63"/>
        <v>77</v>
      </c>
      <c r="AC39" s="10">
        <f t="shared" si="63"/>
        <v>79</v>
      </c>
      <c r="AD39" s="3">
        <f t="shared" si="63"/>
        <v>78</v>
      </c>
      <c r="AE39" s="3">
        <f t="shared" si="63"/>
        <v>78</v>
      </c>
      <c r="AF39" s="10">
        <f>AF25+1</f>
        <v>78</v>
      </c>
      <c r="AG39" s="3">
        <f>AG25+2</f>
        <v>79</v>
      </c>
      <c r="AH39" s="3">
        <f>AH25+2</f>
        <v>79</v>
      </c>
      <c r="AI39" s="3">
        <f>AI25+2</f>
        <v>80</v>
      </c>
      <c r="AJ39" s="3">
        <f>AJ25+2</f>
        <v>81</v>
      </c>
      <c r="AK39" s="3"/>
    </row>
    <row r="40" spans="1:37" ht="20" customHeight="1" x14ac:dyDescent="0.45">
      <c r="A40" s="3">
        <v>7</v>
      </c>
      <c r="B40" s="4" t="s">
        <v>5</v>
      </c>
      <c r="C40" s="3"/>
      <c r="D40" s="3"/>
      <c r="E40" s="3">
        <f t="shared" si="49"/>
        <v>41</v>
      </c>
      <c r="F40" s="3"/>
      <c r="G40" s="3">
        <f>G26</f>
        <v>46</v>
      </c>
      <c r="H40" s="3">
        <f t="shared" ref="H40:S40" si="64">H26</f>
        <v>46</v>
      </c>
      <c r="I40" s="3">
        <f t="shared" si="64"/>
        <v>47</v>
      </c>
      <c r="J40" s="3">
        <f t="shared" si="64"/>
        <v>47</v>
      </c>
      <c r="K40" s="3">
        <f t="shared" si="64"/>
        <v>48</v>
      </c>
      <c r="L40" s="3">
        <f t="shared" si="64"/>
        <v>48</v>
      </c>
      <c r="M40" s="3">
        <f t="shared" si="64"/>
        <v>49</v>
      </c>
      <c r="N40" s="3">
        <f t="shared" si="64"/>
        <v>49</v>
      </c>
      <c r="O40" s="3">
        <f t="shared" si="64"/>
        <v>50</v>
      </c>
      <c r="P40" s="3">
        <f t="shared" si="64"/>
        <v>50</v>
      </c>
      <c r="Q40" s="10">
        <f t="shared" si="64"/>
        <v>52</v>
      </c>
      <c r="R40" s="3">
        <f t="shared" si="64"/>
        <v>51</v>
      </c>
      <c r="S40" s="3">
        <f t="shared" si="64"/>
        <v>51</v>
      </c>
      <c r="T40" s="10">
        <f t="shared" ref="T40" si="65">T26</f>
        <v>53</v>
      </c>
      <c r="U40" s="3">
        <f t="shared" ref="U40:AJ40" si="66">U26</f>
        <v>53</v>
      </c>
      <c r="V40" s="10">
        <f t="shared" si="66"/>
        <v>55</v>
      </c>
      <c r="W40" s="3">
        <f t="shared" si="66"/>
        <v>53</v>
      </c>
      <c r="X40" s="10">
        <f t="shared" si="66"/>
        <v>55</v>
      </c>
      <c r="Y40" s="3">
        <f t="shared" si="66"/>
        <v>54</v>
      </c>
      <c r="Z40" s="3">
        <f t="shared" si="66"/>
        <v>55</v>
      </c>
      <c r="AA40" s="3">
        <f t="shared" si="66"/>
        <v>55</v>
      </c>
      <c r="AB40" s="3">
        <f t="shared" si="66"/>
        <v>56</v>
      </c>
      <c r="AC40" s="10">
        <f t="shared" si="66"/>
        <v>58</v>
      </c>
      <c r="AD40" s="3">
        <f t="shared" si="66"/>
        <v>58</v>
      </c>
      <c r="AE40" s="3">
        <f t="shared" si="66"/>
        <v>59</v>
      </c>
      <c r="AF40" s="10">
        <f t="shared" si="66"/>
        <v>61</v>
      </c>
      <c r="AG40" s="28">
        <f t="shared" si="66"/>
        <v>62</v>
      </c>
      <c r="AH40" s="3">
        <f t="shared" si="66"/>
        <v>63</v>
      </c>
      <c r="AI40" s="3">
        <f t="shared" si="66"/>
        <v>63</v>
      </c>
      <c r="AJ40" s="3">
        <f t="shared" si="66"/>
        <v>65</v>
      </c>
      <c r="AK40" s="3"/>
    </row>
    <row r="41" spans="1:37" ht="19.5" customHeight="1" x14ac:dyDescent="0.45">
      <c r="A41" s="3">
        <v>8</v>
      </c>
      <c r="B41" s="4" t="s">
        <v>14</v>
      </c>
      <c r="C41" s="3"/>
      <c r="D41" s="3"/>
      <c r="E41" s="3">
        <f t="shared" si="49"/>
        <v>30</v>
      </c>
      <c r="F41" s="3"/>
      <c r="G41" s="3">
        <f>G27</f>
        <v>32</v>
      </c>
      <c r="H41" s="3">
        <f t="shared" ref="H41:S41" si="67">H27</f>
        <v>32</v>
      </c>
      <c r="I41" s="3">
        <f t="shared" si="67"/>
        <v>33</v>
      </c>
      <c r="J41" s="3">
        <f t="shared" si="67"/>
        <v>33</v>
      </c>
      <c r="K41" s="3">
        <f t="shared" si="67"/>
        <v>34</v>
      </c>
      <c r="L41" s="3">
        <f t="shared" si="67"/>
        <v>34</v>
      </c>
      <c r="M41" s="3">
        <f t="shared" si="67"/>
        <v>35</v>
      </c>
      <c r="N41" s="3">
        <f t="shared" si="67"/>
        <v>35</v>
      </c>
      <c r="O41" s="3">
        <f t="shared" si="67"/>
        <v>36</v>
      </c>
      <c r="P41" s="3">
        <f t="shared" si="67"/>
        <v>36</v>
      </c>
      <c r="Q41" s="10">
        <f t="shared" si="67"/>
        <v>38</v>
      </c>
      <c r="R41" s="3">
        <f t="shared" si="67"/>
        <v>37</v>
      </c>
      <c r="S41" s="3">
        <f t="shared" si="67"/>
        <v>37</v>
      </c>
      <c r="T41" s="10">
        <f t="shared" ref="T41" si="68">T27</f>
        <v>39</v>
      </c>
      <c r="U41" s="3">
        <f t="shared" ref="U41:AJ41" si="69">U27</f>
        <v>39</v>
      </c>
      <c r="V41" s="10">
        <f t="shared" si="69"/>
        <v>41</v>
      </c>
      <c r="W41" s="3">
        <f t="shared" si="69"/>
        <v>39</v>
      </c>
      <c r="X41" s="10">
        <f t="shared" si="69"/>
        <v>41</v>
      </c>
      <c r="Y41" s="3">
        <f t="shared" si="69"/>
        <v>40</v>
      </c>
      <c r="Z41" s="3">
        <f t="shared" si="69"/>
        <v>41</v>
      </c>
      <c r="AA41" s="3">
        <f t="shared" si="69"/>
        <v>41</v>
      </c>
      <c r="AB41" s="3">
        <f t="shared" si="69"/>
        <v>42</v>
      </c>
      <c r="AC41" s="10">
        <f t="shared" si="69"/>
        <v>44</v>
      </c>
      <c r="AD41" s="3">
        <f t="shared" si="69"/>
        <v>44</v>
      </c>
      <c r="AE41" s="3">
        <f t="shared" si="69"/>
        <v>45</v>
      </c>
      <c r="AF41" s="10">
        <f t="shared" si="69"/>
        <v>47</v>
      </c>
      <c r="AG41" s="3">
        <f t="shared" si="69"/>
        <v>48</v>
      </c>
      <c r="AH41" s="3">
        <f t="shared" si="69"/>
        <v>49</v>
      </c>
      <c r="AI41" s="3">
        <f t="shared" si="69"/>
        <v>49</v>
      </c>
      <c r="AJ41" s="3">
        <f t="shared" si="69"/>
        <v>51</v>
      </c>
      <c r="AK41" s="3"/>
    </row>
    <row r="42" spans="1:37" ht="20" customHeight="1" x14ac:dyDescent="0.45">
      <c r="A42" s="3">
        <v>9</v>
      </c>
      <c r="B42" s="4" t="s">
        <v>3</v>
      </c>
      <c r="C42" s="14"/>
      <c r="D42" s="14"/>
      <c r="E42" s="14">
        <v>52</v>
      </c>
      <c r="F42" s="14"/>
      <c r="G42" s="14">
        <v>54</v>
      </c>
      <c r="H42" s="14">
        <v>54</v>
      </c>
      <c r="I42" s="14">
        <v>54</v>
      </c>
      <c r="J42" s="14">
        <v>54</v>
      </c>
      <c r="K42" s="14">
        <v>54</v>
      </c>
      <c r="L42" s="14">
        <v>55</v>
      </c>
      <c r="M42" s="14">
        <v>55</v>
      </c>
      <c r="N42" s="14">
        <v>55</v>
      </c>
      <c r="O42" s="14">
        <v>55</v>
      </c>
      <c r="P42" s="14">
        <v>55</v>
      </c>
      <c r="Q42" s="10">
        <v>55</v>
      </c>
      <c r="R42" s="14">
        <v>56</v>
      </c>
      <c r="S42" s="14">
        <v>56</v>
      </c>
      <c r="T42" s="10">
        <v>55</v>
      </c>
      <c r="U42" s="14">
        <v>56</v>
      </c>
      <c r="V42" s="10">
        <v>56</v>
      </c>
      <c r="W42" s="14">
        <v>56</v>
      </c>
      <c r="X42" s="10">
        <v>56</v>
      </c>
      <c r="Y42" s="14">
        <v>57</v>
      </c>
      <c r="Z42" s="14">
        <v>57</v>
      </c>
      <c r="AA42" s="14">
        <v>57</v>
      </c>
      <c r="AB42" s="14">
        <v>57</v>
      </c>
      <c r="AC42" s="10">
        <v>57</v>
      </c>
      <c r="AD42" s="14">
        <v>58</v>
      </c>
      <c r="AE42" s="14">
        <v>58</v>
      </c>
      <c r="AF42" s="10">
        <v>58</v>
      </c>
      <c r="AG42" s="14">
        <v>59</v>
      </c>
      <c r="AH42" s="14">
        <v>57</v>
      </c>
      <c r="AI42" s="14">
        <v>59</v>
      </c>
      <c r="AJ42" s="14">
        <f>AI42+1</f>
        <v>60</v>
      </c>
      <c r="AK42" s="14"/>
    </row>
    <row r="43" spans="1:37" ht="20" customHeight="1" x14ac:dyDescent="0.45">
      <c r="A43" s="3">
        <v>10</v>
      </c>
      <c r="B43" s="4" t="s">
        <v>15</v>
      </c>
      <c r="C43" s="14"/>
      <c r="D43" s="14"/>
      <c r="E43" s="14">
        <v>20</v>
      </c>
      <c r="F43" s="14"/>
      <c r="G43" s="14">
        <f>G41-11</f>
        <v>21</v>
      </c>
      <c r="H43" s="14">
        <f>H41-11</f>
        <v>21</v>
      </c>
      <c r="I43" s="14">
        <f>G43+1</f>
        <v>22</v>
      </c>
      <c r="J43" s="14">
        <f>H43+1</f>
        <v>22</v>
      </c>
      <c r="K43" s="14">
        <f>I43+1</f>
        <v>23</v>
      </c>
      <c r="L43" s="14">
        <f t="shared" ref="L43:AC43" si="70">J43+1</f>
        <v>23</v>
      </c>
      <c r="M43" s="14">
        <f t="shared" si="70"/>
        <v>24</v>
      </c>
      <c r="N43" s="14">
        <f t="shared" si="70"/>
        <v>24</v>
      </c>
      <c r="O43" s="14">
        <f>M43+1</f>
        <v>25</v>
      </c>
      <c r="P43" s="14">
        <f>M43+1</f>
        <v>25</v>
      </c>
      <c r="Q43" s="10">
        <f>P43+1</f>
        <v>26</v>
      </c>
      <c r="R43" s="14">
        <f>O43+1</f>
        <v>26</v>
      </c>
      <c r="S43" s="14">
        <f>P43+1</f>
        <v>26</v>
      </c>
      <c r="T43" s="10">
        <f>S43+1</f>
        <v>27</v>
      </c>
      <c r="U43" s="14">
        <f>R43+1</f>
        <v>27</v>
      </c>
      <c r="V43" s="10">
        <f>U43+1</f>
        <v>28</v>
      </c>
      <c r="W43" s="14">
        <f>S43+1</f>
        <v>27</v>
      </c>
      <c r="X43" s="10">
        <f>W43+1</f>
        <v>28</v>
      </c>
      <c r="Y43" s="14">
        <f>U43+1</f>
        <v>28</v>
      </c>
      <c r="Z43" s="14">
        <f>W43+1</f>
        <v>28</v>
      </c>
      <c r="AA43" s="14">
        <f>X43+1</f>
        <v>29</v>
      </c>
      <c r="AB43" s="14">
        <f t="shared" si="70"/>
        <v>29</v>
      </c>
      <c r="AC43" s="10">
        <f t="shared" si="70"/>
        <v>30</v>
      </c>
      <c r="AD43" s="14">
        <f>AA43+2</f>
        <v>31</v>
      </c>
      <c r="AE43" s="14">
        <f>AB43+2</f>
        <v>31</v>
      </c>
      <c r="AF43" s="10">
        <f>AD43+1</f>
        <v>32</v>
      </c>
      <c r="AG43" s="14">
        <f>AD43+1</f>
        <v>32</v>
      </c>
      <c r="AH43" s="14">
        <f>AF43+1</f>
        <v>33</v>
      </c>
      <c r="AI43" s="14">
        <f>AH43+1</f>
        <v>34</v>
      </c>
      <c r="AJ43" s="14">
        <f>AI43+1</f>
        <v>35</v>
      </c>
      <c r="AK43" s="14"/>
    </row>
    <row r="44" spans="1:37" x14ac:dyDescent="0.45"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</row>
  </sheetData>
  <mergeCells count="11">
    <mergeCell ref="A16:C16"/>
    <mergeCell ref="A30:C30"/>
    <mergeCell ref="B17:B19"/>
    <mergeCell ref="C17:AK17"/>
    <mergeCell ref="C3:F3"/>
    <mergeCell ref="A2:A4"/>
    <mergeCell ref="B2:C2"/>
    <mergeCell ref="A31:A33"/>
    <mergeCell ref="B31:B33"/>
    <mergeCell ref="C31:AK31"/>
    <mergeCell ref="A17:A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3BC9-BD46-41A2-B667-AD19C0C215A4}">
  <dimension ref="A2:AW25"/>
  <sheetViews>
    <sheetView showGridLines="0" topLeftCell="A2" zoomScale="87" zoomScaleNormal="85" workbookViewId="0">
      <pane xSplit="2" ySplit="3" topLeftCell="XEN15" activePane="bottomRight" state="frozen"/>
      <selection activeCell="A2" sqref="A2"/>
      <selection pane="topRight" activeCell="C2" sqref="C2"/>
      <selection pane="bottomLeft" activeCell="A5" sqref="A5"/>
      <selection pane="bottomRight" activeCell="B20" sqref="B20"/>
    </sheetView>
  </sheetViews>
  <sheetFormatPr defaultColWidth="8.73046875" defaultRowHeight="14.25" x14ac:dyDescent="0.45"/>
  <cols>
    <col min="1" max="1" width="8.73046875" style="1"/>
    <col min="2" max="2" width="26.73046875" style="5" customWidth="1"/>
    <col min="3" max="4" width="8.265625" style="1" bestFit="1" customWidth="1"/>
    <col min="5" max="5" width="8" style="1" bestFit="1" customWidth="1"/>
    <col min="6" max="6" width="9.06640625" style="1" customWidth="1"/>
    <col min="7" max="7" width="8.265625" style="1" bestFit="1" customWidth="1"/>
    <col min="8" max="8" width="8" style="1" bestFit="1" customWidth="1"/>
    <col min="9" max="10" width="8.265625" style="1" bestFit="1" customWidth="1"/>
    <col min="11" max="11" width="8" style="1" bestFit="1" customWidth="1"/>
    <col min="12" max="22" width="8.9296875" style="1" bestFit="1" customWidth="1"/>
    <col min="23" max="23" width="9.9296875" style="1" customWidth="1"/>
    <col min="24" max="24" width="11" style="1" customWidth="1"/>
    <col min="25" max="26" width="9.46484375" style="1" customWidth="1"/>
    <col min="27" max="27" width="11" style="1" customWidth="1"/>
    <col min="28" max="32" width="9.46484375" style="1" customWidth="1"/>
    <col min="33" max="34" width="8.9296875" style="72" bestFit="1" customWidth="1"/>
    <col min="35" max="35" width="2.53125" style="72" customWidth="1"/>
    <col min="36" max="37" width="8.9296875" style="72" bestFit="1" customWidth="1"/>
    <col min="38" max="38" width="2.46484375" style="72" customWidth="1"/>
    <col min="39" max="40" width="8.9296875" style="72" bestFit="1" customWidth="1"/>
    <col min="41" max="41" width="2.59765625" style="72" customWidth="1"/>
    <col min="42" max="43" width="8.9296875" style="72" bestFit="1" customWidth="1"/>
    <col min="44" max="44" width="2.53125" style="72" customWidth="1"/>
    <col min="45" max="46" width="8.9296875" style="72" bestFit="1" customWidth="1"/>
    <col min="47" max="47" width="2.46484375" style="72" customWidth="1"/>
    <col min="48" max="49" width="8.9296875" style="72" bestFit="1" customWidth="1"/>
    <col min="50" max="16384" width="8.73046875" style="72"/>
  </cols>
  <sheetData>
    <row r="2" spans="1:49" s="70" customFormat="1" ht="15.75" x14ac:dyDescent="0.45">
      <c r="A2" s="37" t="s">
        <v>7</v>
      </c>
      <c r="B2" s="37" t="s">
        <v>6</v>
      </c>
      <c r="C2" s="38">
        <v>27</v>
      </c>
      <c r="D2" s="39"/>
      <c r="E2" s="39">
        <v>28</v>
      </c>
      <c r="F2" s="40">
        <v>29</v>
      </c>
      <c r="G2" s="39"/>
      <c r="H2" s="39">
        <v>30</v>
      </c>
      <c r="I2" s="39">
        <v>31</v>
      </c>
      <c r="J2" s="39">
        <v>32</v>
      </c>
      <c r="K2" s="39">
        <v>33</v>
      </c>
      <c r="L2" s="39"/>
      <c r="M2" s="39">
        <v>34</v>
      </c>
      <c r="N2" s="39">
        <v>35</v>
      </c>
      <c r="O2" s="39">
        <v>36</v>
      </c>
      <c r="P2" s="39">
        <v>37</v>
      </c>
      <c r="Q2" s="39"/>
      <c r="R2" s="39">
        <v>38</v>
      </c>
      <c r="S2" s="39">
        <v>39</v>
      </c>
      <c r="T2" s="39">
        <v>40</v>
      </c>
      <c r="U2" s="39">
        <v>41</v>
      </c>
      <c r="V2" s="39"/>
      <c r="W2" s="39">
        <v>42</v>
      </c>
      <c r="X2" s="39">
        <v>43</v>
      </c>
      <c r="Y2" s="39">
        <v>44</v>
      </c>
      <c r="Z2" s="41"/>
      <c r="AA2" s="41"/>
      <c r="AB2" s="41"/>
      <c r="AC2" s="41"/>
      <c r="AD2" s="41"/>
      <c r="AE2" s="41"/>
      <c r="AF2" s="41"/>
    </row>
    <row r="3" spans="1:49" s="70" customFormat="1" ht="15.75" x14ac:dyDescent="0.45">
      <c r="A3" s="42"/>
      <c r="B3" s="42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8"/>
      <c r="AE3" s="48"/>
      <c r="AF3" s="48"/>
    </row>
    <row r="4" spans="1:49" s="71" customFormat="1" ht="19.05" customHeight="1" x14ac:dyDescent="0.45">
      <c r="A4" s="43"/>
      <c r="B4" s="43"/>
      <c r="C4" s="44" t="s">
        <v>107</v>
      </c>
      <c r="D4" s="44" t="s">
        <v>108</v>
      </c>
      <c r="E4" s="44" t="s">
        <v>109</v>
      </c>
      <c r="F4" s="44" t="s">
        <v>110</v>
      </c>
      <c r="G4" s="44" t="s">
        <v>111</v>
      </c>
      <c r="H4" s="44" t="s">
        <v>112</v>
      </c>
      <c r="I4" s="44" t="s">
        <v>113</v>
      </c>
      <c r="J4" s="44" t="s">
        <v>114</v>
      </c>
      <c r="K4" s="44" t="s">
        <v>115</v>
      </c>
      <c r="L4" s="44" t="s">
        <v>116</v>
      </c>
      <c r="M4" s="44" t="s">
        <v>117</v>
      </c>
      <c r="N4" s="44" t="s">
        <v>118</v>
      </c>
      <c r="O4" s="44" t="s">
        <v>119</v>
      </c>
      <c r="P4" s="44" t="s">
        <v>120</v>
      </c>
      <c r="Q4" s="44" t="s">
        <v>121</v>
      </c>
      <c r="R4" s="44" t="s">
        <v>122</v>
      </c>
      <c r="S4" s="44" t="s">
        <v>123</v>
      </c>
      <c r="T4" s="44" t="s">
        <v>124</v>
      </c>
      <c r="U4" s="44" t="s">
        <v>125</v>
      </c>
      <c r="V4" s="44" t="s">
        <v>126</v>
      </c>
      <c r="W4" s="44" t="s">
        <v>127</v>
      </c>
      <c r="X4" s="44" t="s">
        <v>128</v>
      </c>
      <c r="Y4" s="44" t="s">
        <v>171</v>
      </c>
      <c r="Z4" s="44" t="s">
        <v>172</v>
      </c>
      <c r="AA4" s="44" t="s">
        <v>173</v>
      </c>
      <c r="AB4" s="44" t="s">
        <v>174</v>
      </c>
      <c r="AC4" s="44" t="s">
        <v>175</v>
      </c>
      <c r="AD4" s="44" t="s">
        <v>176</v>
      </c>
      <c r="AE4" s="44" t="s">
        <v>177</v>
      </c>
      <c r="AF4" s="44" t="s">
        <v>203</v>
      </c>
    </row>
    <row r="5" spans="1:49" s="74" customFormat="1" ht="20" customHeight="1" x14ac:dyDescent="0.45">
      <c r="A5" s="54">
        <v>1</v>
      </c>
      <c r="B5" s="55" t="s">
        <v>11</v>
      </c>
      <c r="C5" s="54">
        <v>68</v>
      </c>
      <c r="D5" s="54">
        <f>C5+2</f>
        <v>70</v>
      </c>
      <c r="E5" s="54">
        <f t="shared" ref="E5:AA5" si="0">D5+2</f>
        <v>72</v>
      </c>
      <c r="F5" s="54">
        <f t="shared" si="0"/>
        <v>74</v>
      </c>
      <c r="G5" s="54">
        <f t="shared" si="0"/>
        <v>76</v>
      </c>
      <c r="H5" s="54">
        <f t="shared" si="0"/>
        <v>78</v>
      </c>
      <c r="I5" s="54">
        <f t="shared" si="0"/>
        <v>80</v>
      </c>
      <c r="J5" s="54">
        <f t="shared" si="0"/>
        <v>82</v>
      </c>
      <c r="K5" s="54">
        <f t="shared" si="0"/>
        <v>84</v>
      </c>
      <c r="L5" s="54">
        <f t="shared" si="0"/>
        <v>86</v>
      </c>
      <c r="M5" s="54">
        <f t="shared" si="0"/>
        <v>88</v>
      </c>
      <c r="N5" s="54">
        <f t="shared" si="0"/>
        <v>90</v>
      </c>
      <c r="O5" s="54">
        <f t="shared" si="0"/>
        <v>92</v>
      </c>
      <c r="P5" s="54">
        <f t="shared" si="0"/>
        <v>94</v>
      </c>
      <c r="Q5" s="54">
        <f t="shared" si="0"/>
        <v>96</v>
      </c>
      <c r="R5" s="54">
        <f t="shared" si="0"/>
        <v>98</v>
      </c>
      <c r="S5" s="54">
        <f t="shared" si="0"/>
        <v>100</v>
      </c>
      <c r="T5" s="54">
        <f t="shared" si="0"/>
        <v>102</v>
      </c>
      <c r="U5" s="54">
        <f t="shared" si="0"/>
        <v>104</v>
      </c>
      <c r="V5" s="54">
        <f t="shared" si="0"/>
        <v>106</v>
      </c>
      <c r="W5" s="54">
        <f t="shared" si="0"/>
        <v>108</v>
      </c>
      <c r="X5" s="54">
        <f t="shared" si="0"/>
        <v>110</v>
      </c>
      <c r="Y5" s="54">
        <f t="shared" si="0"/>
        <v>112</v>
      </c>
      <c r="Z5" s="54">
        <f t="shared" si="0"/>
        <v>114</v>
      </c>
      <c r="AA5" s="54">
        <f t="shared" si="0"/>
        <v>116</v>
      </c>
      <c r="AB5" s="54">
        <v>120</v>
      </c>
      <c r="AC5" s="54">
        <v>124</v>
      </c>
      <c r="AD5" s="54">
        <v>126</v>
      </c>
      <c r="AE5" s="54">
        <v>130</v>
      </c>
      <c r="AF5" s="54">
        <v>134</v>
      </c>
    </row>
    <row r="6" spans="1:49" ht="20" customHeight="1" x14ac:dyDescent="0.45">
      <c r="A6" s="3">
        <v>2</v>
      </c>
      <c r="B6" s="4" t="s">
        <v>19</v>
      </c>
      <c r="C6" s="3">
        <f>C5+20</f>
        <v>88</v>
      </c>
      <c r="D6" s="3">
        <f t="shared" ref="D6:AF6" si="1">D5+20</f>
        <v>90</v>
      </c>
      <c r="E6" s="3">
        <f t="shared" si="1"/>
        <v>92</v>
      </c>
      <c r="F6" s="3">
        <f t="shared" si="1"/>
        <v>94</v>
      </c>
      <c r="G6" s="3">
        <f t="shared" si="1"/>
        <v>96</v>
      </c>
      <c r="H6" s="3">
        <f t="shared" si="1"/>
        <v>98</v>
      </c>
      <c r="I6" s="3">
        <f t="shared" si="1"/>
        <v>100</v>
      </c>
      <c r="J6" s="3">
        <f t="shared" si="1"/>
        <v>102</v>
      </c>
      <c r="K6" s="3">
        <f t="shared" si="1"/>
        <v>104</v>
      </c>
      <c r="L6" s="3">
        <f t="shared" si="1"/>
        <v>106</v>
      </c>
      <c r="M6" s="3">
        <f t="shared" si="1"/>
        <v>108</v>
      </c>
      <c r="N6" s="3">
        <f t="shared" si="1"/>
        <v>110</v>
      </c>
      <c r="O6" s="3">
        <f t="shared" si="1"/>
        <v>112</v>
      </c>
      <c r="P6" s="3">
        <f t="shared" si="1"/>
        <v>114</v>
      </c>
      <c r="Q6" s="3">
        <f t="shared" si="1"/>
        <v>116</v>
      </c>
      <c r="R6" s="3">
        <f t="shared" si="1"/>
        <v>118</v>
      </c>
      <c r="S6" s="3">
        <f t="shared" si="1"/>
        <v>120</v>
      </c>
      <c r="T6" s="3">
        <f t="shared" si="1"/>
        <v>122</v>
      </c>
      <c r="U6" s="3">
        <f t="shared" si="1"/>
        <v>124</v>
      </c>
      <c r="V6" s="3">
        <f t="shared" si="1"/>
        <v>126</v>
      </c>
      <c r="W6" s="3">
        <f t="shared" si="1"/>
        <v>128</v>
      </c>
      <c r="X6" s="3">
        <f t="shared" si="1"/>
        <v>130</v>
      </c>
      <c r="Y6" s="3">
        <f t="shared" si="1"/>
        <v>132</v>
      </c>
      <c r="Z6" s="3">
        <f t="shared" ref="Z6" si="2">Z5+20</f>
        <v>134</v>
      </c>
      <c r="AA6" s="3">
        <f t="shared" si="1"/>
        <v>136</v>
      </c>
      <c r="AB6" s="3">
        <f t="shared" si="1"/>
        <v>140</v>
      </c>
      <c r="AC6" s="3">
        <f t="shared" si="1"/>
        <v>144</v>
      </c>
      <c r="AD6" s="3">
        <f t="shared" si="1"/>
        <v>146</v>
      </c>
      <c r="AE6" s="3">
        <f t="shared" si="1"/>
        <v>150</v>
      </c>
      <c r="AF6" s="3">
        <f t="shared" si="1"/>
        <v>154</v>
      </c>
    </row>
    <row r="7" spans="1:49" ht="20" customHeight="1" x14ac:dyDescent="0.45">
      <c r="A7" s="3">
        <v>3</v>
      </c>
      <c r="B7" s="4" t="s">
        <v>20</v>
      </c>
      <c r="C7" s="3">
        <v>63</v>
      </c>
      <c r="D7" s="3">
        <v>63</v>
      </c>
      <c r="E7" s="3">
        <f t="shared" ref="E7:P10" si="3">C7+1</f>
        <v>64</v>
      </c>
      <c r="F7" s="3">
        <f t="shared" si="3"/>
        <v>64</v>
      </c>
      <c r="G7" s="3">
        <f t="shared" si="3"/>
        <v>65</v>
      </c>
      <c r="H7" s="3">
        <f t="shared" si="3"/>
        <v>65</v>
      </c>
      <c r="I7" s="3">
        <f t="shared" si="3"/>
        <v>66</v>
      </c>
      <c r="J7" s="3">
        <f t="shared" si="3"/>
        <v>66</v>
      </c>
      <c r="K7" s="3">
        <f t="shared" si="3"/>
        <v>67</v>
      </c>
      <c r="L7" s="3">
        <f t="shared" si="3"/>
        <v>67</v>
      </c>
      <c r="M7" s="3">
        <f t="shared" si="3"/>
        <v>68</v>
      </c>
      <c r="N7" s="3">
        <f t="shared" si="3"/>
        <v>68</v>
      </c>
      <c r="O7" s="3">
        <f t="shared" si="3"/>
        <v>69</v>
      </c>
      <c r="P7" s="3">
        <f t="shared" si="3"/>
        <v>69</v>
      </c>
      <c r="Q7" s="3">
        <f>O7+2</f>
        <v>71</v>
      </c>
      <c r="R7" s="3">
        <f>P7+2</f>
        <v>71</v>
      </c>
      <c r="S7" s="3">
        <f t="shared" ref="S7:X7" si="4">Q7+2</f>
        <v>73</v>
      </c>
      <c r="T7" s="3">
        <f t="shared" si="4"/>
        <v>73</v>
      </c>
      <c r="U7" s="3">
        <f t="shared" si="4"/>
        <v>75</v>
      </c>
      <c r="V7" s="3">
        <f t="shared" si="4"/>
        <v>75</v>
      </c>
      <c r="W7" s="3">
        <f t="shared" si="4"/>
        <v>77</v>
      </c>
      <c r="X7" s="3">
        <f t="shared" si="4"/>
        <v>77</v>
      </c>
      <c r="Y7" s="3">
        <v>78</v>
      </c>
      <c r="Z7" s="3">
        <v>78</v>
      </c>
      <c r="AA7" s="3">
        <v>78</v>
      </c>
      <c r="AB7" s="3">
        <v>78</v>
      </c>
      <c r="AC7" s="3">
        <v>78</v>
      </c>
      <c r="AD7" s="3">
        <v>78</v>
      </c>
      <c r="AE7" s="3">
        <v>79</v>
      </c>
      <c r="AF7" s="3">
        <v>79</v>
      </c>
    </row>
    <row r="8" spans="1:49" ht="19.5" customHeight="1" x14ac:dyDescent="0.45">
      <c r="A8" s="3">
        <v>4</v>
      </c>
      <c r="B8" s="4" t="s">
        <v>21</v>
      </c>
      <c r="C8" s="3">
        <v>56</v>
      </c>
      <c r="D8" s="3">
        <v>56</v>
      </c>
      <c r="E8" s="3">
        <f t="shared" si="3"/>
        <v>57</v>
      </c>
      <c r="F8" s="3">
        <f t="shared" si="3"/>
        <v>57</v>
      </c>
      <c r="G8" s="3">
        <f>E8+1</f>
        <v>58</v>
      </c>
      <c r="H8" s="3">
        <f>F8+1</f>
        <v>58</v>
      </c>
      <c r="I8" s="3">
        <f t="shared" si="3"/>
        <v>59</v>
      </c>
      <c r="J8" s="3">
        <f t="shared" si="3"/>
        <v>59</v>
      </c>
      <c r="K8" s="3">
        <f t="shared" si="3"/>
        <v>60</v>
      </c>
      <c r="L8" s="3">
        <f t="shared" si="3"/>
        <v>60</v>
      </c>
      <c r="M8" s="3">
        <f t="shared" si="3"/>
        <v>61</v>
      </c>
      <c r="N8" s="3">
        <f t="shared" si="3"/>
        <v>61</v>
      </c>
      <c r="O8" s="3">
        <f>M8+1</f>
        <v>62</v>
      </c>
      <c r="P8" s="3">
        <f>N8+1</f>
        <v>62</v>
      </c>
      <c r="Q8" s="3">
        <f t="shared" ref="Q8:T8" si="5">O8+1</f>
        <v>63</v>
      </c>
      <c r="R8" s="3">
        <f t="shared" si="5"/>
        <v>63</v>
      </c>
      <c r="S8" s="3">
        <f t="shared" si="5"/>
        <v>64</v>
      </c>
      <c r="T8" s="3">
        <f t="shared" si="5"/>
        <v>64</v>
      </c>
      <c r="U8" s="3">
        <f>S8+2</f>
        <v>66</v>
      </c>
      <c r="V8" s="3">
        <f>T8+2</f>
        <v>66</v>
      </c>
      <c r="W8" s="3">
        <f>U8+2</f>
        <v>68</v>
      </c>
      <c r="X8" s="3">
        <f>V8+2</f>
        <v>68</v>
      </c>
      <c r="Y8" s="3">
        <f t="shared" ref="Y8:AF8" si="6">W8+4</f>
        <v>72</v>
      </c>
      <c r="Z8" s="3">
        <f>W8+4</f>
        <v>72</v>
      </c>
      <c r="AA8" s="3">
        <f>X8+4</f>
        <v>72</v>
      </c>
      <c r="AB8" s="3">
        <f>Y8+4</f>
        <v>76</v>
      </c>
      <c r="AC8" s="3">
        <f t="shared" si="6"/>
        <v>76</v>
      </c>
      <c r="AD8" s="3">
        <f t="shared" si="6"/>
        <v>80</v>
      </c>
      <c r="AE8" s="3">
        <f t="shared" si="6"/>
        <v>80</v>
      </c>
      <c r="AF8" s="3">
        <f t="shared" si="6"/>
        <v>84</v>
      </c>
    </row>
    <row r="9" spans="1:49" ht="20" customHeight="1" x14ac:dyDescent="0.45">
      <c r="A9" s="3">
        <v>5</v>
      </c>
      <c r="B9" s="4" t="s">
        <v>22</v>
      </c>
      <c r="C9" s="3">
        <v>44</v>
      </c>
      <c r="D9" s="3">
        <v>44</v>
      </c>
      <c r="E9" s="3">
        <f t="shared" si="3"/>
        <v>45</v>
      </c>
      <c r="F9" s="3">
        <f t="shared" si="3"/>
        <v>45</v>
      </c>
      <c r="G9" s="3">
        <f t="shared" si="3"/>
        <v>46</v>
      </c>
      <c r="H9" s="3">
        <f t="shared" si="3"/>
        <v>46</v>
      </c>
      <c r="I9" s="3">
        <f t="shared" si="3"/>
        <v>47</v>
      </c>
      <c r="J9" s="3">
        <f t="shared" si="3"/>
        <v>47</v>
      </c>
      <c r="K9" s="3">
        <f t="shared" si="3"/>
        <v>48</v>
      </c>
      <c r="L9" s="3">
        <f t="shared" si="3"/>
        <v>48</v>
      </c>
      <c r="M9" s="3">
        <f t="shared" si="3"/>
        <v>49</v>
      </c>
      <c r="N9" s="3">
        <f t="shared" si="3"/>
        <v>49</v>
      </c>
      <c r="O9" s="3">
        <f t="shared" si="3"/>
        <v>50</v>
      </c>
      <c r="P9" s="3">
        <f t="shared" si="3"/>
        <v>50</v>
      </c>
      <c r="Q9" s="3">
        <f>O9+2</f>
        <v>52</v>
      </c>
      <c r="R9" s="3">
        <f>P9+2</f>
        <v>52</v>
      </c>
      <c r="S9" s="3">
        <f t="shared" ref="S9:AF10" si="7">Q9+2</f>
        <v>54</v>
      </c>
      <c r="T9" s="3">
        <f t="shared" si="7"/>
        <v>54</v>
      </c>
      <c r="U9" s="3">
        <f t="shared" si="7"/>
        <v>56</v>
      </c>
      <c r="V9" s="3">
        <f t="shared" si="7"/>
        <v>56</v>
      </c>
      <c r="W9" s="3">
        <f t="shared" si="7"/>
        <v>58</v>
      </c>
      <c r="X9" s="3">
        <f t="shared" si="7"/>
        <v>58</v>
      </c>
      <c r="Y9" s="3">
        <f t="shared" si="7"/>
        <v>60</v>
      </c>
      <c r="Z9" s="3">
        <f t="shared" ref="Z9:AB10" si="8">W9+2</f>
        <v>60</v>
      </c>
      <c r="AA9" s="3">
        <f t="shared" si="8"/>
        <v>60</v>
      </c>
      <c r="AB9" s="3">
        <f t="shared" si="8"/>
        <v>62</v>
      </c>
      <c r="AC9" s="3">
        <f t="shared" si="7"/>
        <v>62</v>
      </c>
      <c r="AD9" s="3">
        <f t="shared" si="7"/>
        <v>64</v>
      </c>
      <c r="AE9" s="3">
        <f t="shared" si="7"/>
        <v>64</v>
      </c>
      <c r="AF9" s="3">
        <f t="shared" si="7"/>
        <v>66</v>
      </c>
    </row>
    <row r="10" spans="1:49" ht="20" customHeight="1" x14ac:dyDescent="0.45">
      <c r="A10" s="3">
        <v>6</v>
      </c>
      <c r="B10" s="4" t="s">
        <v>23</v>
      </c>
      <c r="C10" s="3">
        <v>36</v>
      </c>
      <c r="D10" s="3">
        <v>36</v>
      </c>
      <c r="E10" s="3">
        <f t="shared" si="3"/>
        <v>37</v>
      </c>
      <c r="F10" s="3">
        <f t="shared" si="3"/>
        <v>37</v>
      </c>
      <c r="G10" s="3">
        <f t="shared" si="3"/>
        <v>38</v>
      </c>
      <c r="H10" s="3">
        <f t="shared" si="3"/>
        <v>38</v>
      </c>
      <c r="I10" s="3">
        <f t="shared" si="3"/>
        <v>39</v>
      </c>
      <c r="J10" s="3">
        <f t="shared" si="3"/>
        <v>39</v>
      </c>
      <c r="K10" s="3">
        <f t="shared" si="3"/>
        <v>40</v>
      </c>
      <c r="L10" s="3">
        <f t="shared" si="3"/>
        <v>40</v>
      </c>
      <c r="M10" s="3">
        <f t="shared" si="3"/>
        <v>41</v>
      </c>
      <c r="N10" s="3">
        <f t="shared" si="3"/>
        <v>41</v>
      </c>
      <c r="O10" s="3">
        <f t="shared" si="3"/>
        <v>42</v>
      </c>
      <c r="P10" s="3">
        <f t="shared" si="3"/>
        <v>42</v>
      </c>
      <c r="Q10" s="3">
        <f>O10+2</f>
        <v>44</v>
      </c>
      <c r="R10" s="3">
        <f>P10+2</f>
        <v>44</v>
      </c>
      <c r="S10" s="3">
        <f t="shared" si="7"/>
        <v>46</v>
      </c>
      <c r="T10" s="3">
        <f t="shared" si="7"/>
        <v>46</v>
      </c>
      <c r="U10" s="3">
        <f t="shared" si="7"/>
        <v>48</v>
      </c>
      <c r="V10" s="3">
        <f t="shared" si="7"/>
        <v>48</v>
      </c>
      <c r="W10" s="3">
        <f t="shared" si="7"/>
        <v>50</v>
      </c>
      <c r="X10" s="3">
        <f t="shared" si="7"/>
        <v>50</v>
      </c>
      <c r="Y10" s="3">
        <f t="shared" si="7"/>
        <v>52</v>
      </c>
      <c r="Z10" s="3">
        <f t="shared" si="8"/>
        <v>52</v>
      </c>
      <c r="AA10" s="3">
        <f t="shared" si="8"/>
        <v>52</v>
      </c>
      <c r="AB10" s="3">
        <f t="shared" si="8"/>
        <v>54</v>
      </c>
      <c r="AC10" s="3">
        <f t="shared" si="7"/>
        <v>54</v>
      </c>
      <c r="AD10" s="3">
        <f t="shared" si="7"/>
        <v>56</v>
      </c>
      <c r="AE10" s="3">
        <f t="shared" si="7"/>
        <v>56</v>
      </c>
      <c r="AF10" s="3">
        <f t="shared" si="7"/>
        <v>58</v>
      </c>
    </row>
    <row r="11" spans="1:49" ht="19.5" customHeight="1" x14ac:dyDescent="0.45">
      <c r="A11" s="3">
        <v>7</v>
      </c>
      <c r="B11" s="4" t="s">
        <v>18</v>
      </c>
      <c r="C11" s="3">
        <v>98</v>
      </c>
      <c r="D11" s="3">
        <v>98</v>
      </c>
      <c r="E11" s="3">
        <f>C11+2</f>
        <v>100</v>
      </c>
      <c r="F11" s="3">
        <f>D11+2</f>
        <v>100</v>
      </c>
      <c r="G11" s="3">
        <f>E11+2</f>
        <v>102</v>
      </c>
      <c r="H11" s="3">
        <f>F11+2</f>
        <v>102</v>
      </c>
      <c r="I11" s="3">
        <f t="shared" ref="I11:J11" si="9">G11+2</f>
        <v>104</v>
      </c>
      <c r="J11" s="3">
        <f t="shared" si="9"/>
        <v>104</v>
      </c>
      <c r="K11" s="19">
        <v>105</v>
      </c>
      <c r="L11" s="19">
        <v>105</v>
      </c>
      <c r="M11" s="19">
        <v>105</v>
      </c>
      <c r="N11" s="19">
        <v>105</v>
      </c>
      <c r="O11" s="19">
        <v>105</v>
      </c>
      <c r="P11" s="19">
        <v>105</v>
      </c>
      <c r="Q11" s="19">
        <v>105</v>
      </c>
      <c r="R11" s="19">
        <v>105</v>
      </c>
      <c r="S11" s="19">
        <v>105</v>
      </c>
      <c r="T11" s="19">
        <v>105</v>
      </c>
      <c r="U11" s="19">
        <v>105</v>
      </c>
      <c r="V11" s="19">
        <v>105</v>
      </c>
      <c r="W11" s="19">
        <v>105</v>
      </c>
      <c r="X11" s="19">
        <v>105</v>
      </c>
      <c r="Y11" s="19">
        <v>105</v>
      </c>
      <c r="Z11" s="19">
        <v>105</v>
      </c>
      <c r="AA11" s="19">
        <v>105</v>
      </c>
      <c r="AB11" s="19">
        <v>105</v>
      </c>
      <c r="AC11" s="19">
        <v>105</v>
      </c>
      <c r="AD11" s="19">
        <v>105</v>
      </c>
      <c r="AE11" s="19">
        <v>105</v>
      </c>
      <c r="AF11" s="19">
        <v>105</v>
      </c>
    </row>
    <row r="15" spans="1:49" s="73" customFormat="1" ht="15.75" x14ac:dyDescent="0.45">
      <c r="A15" s="46" t="s">
        <v>7</v>
      </c>
      <c r="B15" s="46" t="s">
        <v>6</v>
      </c>
      <c r="C15" s="47" t="s">
        <v>16</v>
      </c>
      <c r="D15" s="47" t="s">
        <v>16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49" s="73" customFormat="1" ht="15.75" x14ac:dyDescent="0.45">
      <c r="A16" s="33"/>
      <c r="B16" s="33"/>
      <c r="C16" s="32">
        <v>26</v>
      </c>
      <c r="D16" s="32">
        <v>27</v>
      </c>
      <c r="E16" s="32">
        <v>28</v>
      </c>
      <c r="F16" s="32">
        <v>29</v>
      </c>
      <c r="G16" s="32">
        <v>30</v>
      </c>
      <c r="H16" s="32">
        <v>31</v>
      </c>
      <c r="I16" s="32">
        <v>32</v>
      </c>
      <c r="J16" s="32">
        <v>33</v>
      </c>
      <c r="K16" s="32">
        <v>34</v>
      </c>
      <c r="L16" s="32">
        <v>35</v>
      </c>
      <c r="M16" s="32">
        <v>36</v>
      </c>
      <c r="N16" s="32">
        <v>37</v>
      </c>
      <c r="O16" s="32">
        <v>38</v>
      </c>
      <c r="P16" s="32">
        <v>39</v>
      </c>
      <c r="Q16" s="32">
        <v>40</v>
      </c>
      <c r="R16" s="32">
        <v>41</v>
      </c>
      <c r="S16" s="32">
        <v>42</v>
      </c>
      <c r="T16" s="32">
        <v>43</v>
      </c>
      <c r="U16" s="32">
        <v>44</v>
      </c>
      <c r="V16" s="32">
        <v>45</v>
      </c>
      <c r="W16" s="32">
        <v>46</v>
      </c>
      <c r="X16" s="32">
        <v>47</v>
      </c>
      <c r="Y16" s="32">
        <v>48</v>
      </c>
      <c r="Z16" s="32">
        <v>49</v>
      </c>
      <c r="AA16" s="32">
        <v>50</v>
      </c>
      <c r="AB16" s="32">
        <v>51</v>
      </c>
      <c r="AC16" s="32">
        <v>52</v>
      </c>
      <c r="AD16" s="32">
        <v>53</v>
      </c>
      <c r="AE16" s="32">
        <v>54</v>
      </c>
      <c r="AF16" s="31"/>
      <c r="AG16" s="75"/>
      <c r="AH16" s="75"/>
      <c r="AJ16" s="75"/>
      <c r="AK16" s="75"/>
      <c r="AM16" s="75"/>
      <c r="AN16" s="75"/>
      <c r="AP16" s="75"/>
      <c r="AQ16" s="75"/>
      <c r="AS16" s="75"/>
      <c r="AT16" s="75"/>
      <c r="AV16" s="75"/>
      <c r="AW16" s="75"/>
    </row>
    <row r="17" spans="1:32" s="76" customFormat="1" ht="19.05" customHeight="1" x14ac:dyDescent="0.45">
      <c r="A17" s="34"/>
      <c r="B17" s="34"/>
      <c r="C17" s="30" t="s">
        <v>163</v>
      </c>
      <c r="D17" s="30" t="s">
        <v>89</v>
      </c>
      <c r="E17" s="30" t="s">
        <v>136</v>
      </c>
      <c r="F17" s="30" t="s">
        <v>87</v>
      </c>
      <c r="G17" s="30" t="s">
        <v>86</v>
      </c>
      <c r="H17" s="30" t="s">
        <v>90</v>
      </c>
      <c r="I17" s="30" t="s">
        <v>88</v>
      </c>
      <c r="J17" s="30" t="s">
        <v>91</v>
      </c>
      <c r="K17" s="30" t="s">
        <v>92</v>
      </c>
      <c r="L17" s="30" t="s">
        <v>93</v>
      </c>
      <c r="M17" s="30" t="s">
        <v>94</v>
      </c>
      <c r="N17" s="30" t="s">
        <v>95</v>
      </c>
      <c r="O17" s="30" t="s">
        <v>96</v>
      </c>
      <c r="P17" s="30" t="s">
        <v>97</v>
      </c>
      <c r="Q17" s="30" t="s">
        <v>98</v>
      </c>
      <c r="R17" s="30" t="s">
        <v>99</v>
      </c>
      <c r="S17" s="30" t="s">
        <v>100</v>
      </c>
      <c r="T17" s="30" t="s">
        <v>101</v>
      </c>
      <c r="U17" s="30" t="s">
        <v>102</v>
      </c>
      <c r="V17" s="30" t="s">
        <v>103</v>
      </c>
      <c r="W17" s="30" t="s">
        <v>104</v>
      </c>
      <c r="X17" s="30" t="s">
        <v>105</v>
      </c>
      <c r="Y17" s="30" t="s">
        <v>106</v>
      </c>
      <c r="Z17" s="30" t="s">
        <v>168</v>
      </c>
      <c r="AA17" s="30" t="s">
        <v>169</v>
      </c>
      <c r="AB17" s="30" t="s">
        <v>170</v>
      </c>
      <c r="AC17" s="30" t="s">
        <v>178</v>
      </c>
      <c r="AD17" s="30" t="s">
        <v>179</v>
      </c>
      <c r="AE17" s="30" t="s">
        <v>180</v>
      </c>
      <c r="AF17" s="30"/>
    </row>
    <row r="18" spans="1:32" ht="20" customHeight="1" x14ac:dyDescent="0.45">
      <c r="A18" s="3">
        <v>1</v>
      </c>
      <c r="B18" s="4" t="s">
        <v>17</v>
      </c>
      <c r="C18" s="3">
        <v>68</v>
      </c>
      <c r="D18" s="3">
        <f>C18+2</f>
        <v>70</v>
      </c>
      <c r="E18" s="3">
        <f t="shared" ref="E18:Y18" si="10">D18+2</f>
        <v>72</v>
      </c>
      <c r="F18" s="3">
        <f t="shared" si="10"/>
        <v>74</v>
      </c>
      <c r="G18" s="3">
        <f t="shared" si="10"/>
        <v>76</v>
      </c>
      <c r="H18" s="3">
        <f t="shared" si="10"/>
        <v>78</v>
      </c>
      <c r="I18" s="3">
        <f t="shared" si="10"/>
        <v>80</v>
      </c>
      <c r="J18" s="3">
        <f t="shared" si="10"/>
        <v>82</v>
      </c>
      <c r="K18" s="3">
        <f t="shared" si="10"/>
        <v>84</v>
      </c>
      <c r="L18" s="3">
        <f t="shared" si="10"/>
        <v>86</v>
      </c>
      <c r="M18" s="3">
        <f t="shared" si="10"/>
        <v>88</v>
      </c>
      <c r="N18" s="3">
        <f t="shared" si="10"/>
        <v>90</v>
      </c>
      <c r="O18" s="3">
        <f t="shared" si="10"/>
        <v>92</v>
      </c>
      <c r="P18" s="3">
        <f t="shared" si="10"/>
        <v>94</v>
      </c>
      <c r="Q18" s="3">
        <f t="shared" si="10"/>
        <v>96</v>
      </c>
      <c r="R18" s="3">
        <f t="shared" si="10"/>
        <v>98</v>
      </c>
      <c r="S18" s="3">
        <f t="shared" si="10"/>
        <v>100</v>
      </c>
      <c r="T18" s="3">
        <f t="shared" si="10"/>
        <v>102</v>
      </c>
      <c r="U18" s="3">
        <f t="shared" si="10"/>
        <v>104</v>
      </c>
      <c r="V18" s="3">
        <f t="shared" si="10"/>
        <v>106</v>
      </c>
      <c r="W18" s="3">
        <f t="shared" si="10"/>
        <v>108</v>
      </c>
      <c r="X18" s="3">
        <f t="shared" si="10"/>
        <v>110</v>
      </c>
      <c r="Y18" s="3">
        <f t="shared" si="10"/>
        <v>112</v>
      </c>
      <c r="Z18" s="3">
        <f>Y18+2</f>
        <v>114</v>
      </c>
      <c r="AA18" s="3">
        <f t="shared" ref="AA18:AF18" si="11">Z18+2</f>
        <v>116</v>
      </c>
      <c r="AB18" s="3">
        <f t="shared" si="11"/>
        <v>118</v>
      </c>
      <c r="AC18" s="3">
        <f t="shared" si="11"/>
        <v>120</v>
      </c>
      <c r="AD18" s="3">
        <f t="shared" si="11"/>
        <v>122</v>
      </c>
      <c r="AE18" s="3">
        <f t="shared" si="11"/>
        <v>124</v>
      </c>
      <c r="AF18" s="3">
        <f t="shared" si="11"/>
        <v>126</v>
      </c>
    </row>
    <row r="19" spans="1:32" ht="20" customHeight="1" x14ac:dyDescent="0.45">
      <c r="A19" s="3">
        <v>2</v>
      </c>
      <c r="B19" s="4" t="s">
        <v>19</v>
      </c>
      <c r="C19" s="3">
        <f>C18+24</f>
        <v>92</v>
      </c>
      <c r="D19" s="3">
        <f>D18+24</f>
        <v>94</v>
      </c>
      <c r="E19" s="3">
        <f t="shared" ref="E19:AF19" si="12">E18+24</f>
        <v>96</v>
      </c>
      <c r="F19" s="3">
        <f t="shared" si="12"/>
        <v>98</v>
      </c>
      <c r="G19" s="3">
        <f t="shared" si="12"/>
        <v>100</v>
      </c>
      <c r="H19" s="3">
        <f t="shared" si="12"/>
        <v>102</v>
      </c>
      <c r="I19" s="3">
        <f t="shared" si="12"/>
        <v>104</v>
      </c>
      <c r="J19" s="3">
        <f t="shared" si="12"/>
        <v>106</v>
      </c>
      <c r="K19" s="3">
        <f t="shared" si="12"/>
        <v>108</v>
      </c>
      <c r="L19" s="3">
        <f t="shared" si="12"/>
        <v>110</v>
      </c>
      <c r="M19" s="3">
        <f t="shared" si="12"/>
        <v>112</v>
      </c>
      <c r="N19" s="3">
        <f t="shared" si="12"/>
        <v>114</v>
      </c>
      <c r="O19" s="3">
        <f t="shared" si="12"/>
        <v>116</v>
      </c>
      <c r="P19" s="3">
        <f t="shared" si="12"/>
        <v>118</v>
      </c>
      <c r="Q19" s="3">
        <f t="shared" si="12"/>
        <v>120</v>
      </c>
      <c r="R19" s="3">
        <f t="shared" si="12"/>
        <v>122</v>
      </c>
      <c r="S19" s="3">
        <f t="shared" si="12"/>
        <v>124</v>
      </c>
      <c r="T19" s="3">
        <f t="shared" si="12"/>
        <v>126</v>
      </c>
      <c r="U19" s="3">
        <f t="shared" si="12"/>
        <v>128</v>
      </c>
      <c r="V19" s="3">
        <f t="shared" si="12"/>
        <v>130</v>
      </c>
      <c r="W19" s="3">
        <f t="shared" si="12"/>
        <v>132</v>
      </c>
      <c r="X19" s="3">
        <f t="shared" si="12"/>
        <v>134</v>
      </c>
      <c r="Y19" s="3">
        <f t="shared" si="12"/>
        <v>136</v>
      </c>
      <c r="Z19" s="3">
        <f t="shared" si="12"/>
        <v>138</v>
      </c>
      <c r="AA19" s="3">
        <f t="shared" si="12"/>
        <v>140</v>
      </c>
      <c r="AB19" s="3">
        <f t="shared" si="12"/>
        <v>142</v>
      </c>
      <c r="AC19" s="3">
        <f t="shared" si="12"/>
        <v>144</v>
      </c>
      <c r="AD19" s="3">
        <f t="shared" si="12"/>
        <v>146</v>
      </c>
      <c r="AE19" s="3">
        <f t="shared" si="12"/>
        <v>148</v>
      </c>
      <c r="AF19" s="3">
        <f t="shared" si="12"/>
        <v>150</v>
      </c>
    </row>
    <row r="20" spans="1:32" ht="20" customHeight="1" x14ac:dyDescent="0.45">
      <c r="A20" s="3">
        <v>3</v>
      </c>
      <c r="B20" s="4" t="s">
        <v>20</v>
      </c>
      <c r="C20" s="3">
        <v>60</v>
      </c>
      <c r="D20" s="3">
        <v>60</v>
      </c>
      <c r="E20" s="3">
        <v>60</v>
      </c>
      <c r="F20" s="3">
        <f>D20+2</f>
        <v>62</v>
      </c>
      <c r="G20" s="3">
        <f t="shared" ref="G20:AE20" si="13">E20+2</f>
        <v>62</v>
      </c>
      <c r="H20" s="3">
        <f t="shared" si="13"/>
        <v>64</v>
      </c>
      <c r="I20" s="3">
        <f t="shared" si="13"/>
        <v>64</v>
      </c>
      <c r="J20" s="3">
        <f t="shared" si="13"/>
        <v>66</v>
      </c>
      <c r="K20" s="3">
        <f t="shared" si="13"/>
        <v>66</v>
      </c>
      <c r="L20" s="3">
        <f t="shared" si="13"/>
        <v>68</v>
      </c>
      <c r="M20" s="3">
        <f t="shared" si="13"/>
        <v>68</v>
      </c>
      <c r="N20" s="3">
        <f t="shared" si="13"/>
        <v>70</v>
      </c>
      <c r="O20" s="3">
        <f t="shared" si="13"/>
        <v>70</v>
      </c>
      <c r="P20" s="3">
        <f t="shared" si="13"/>
        <v>72</v>
      </c>
      <c r="Q20" s="3">
        <f t="shared" si="13"/>
        <v>72</v>
      </c>
      <c r="R20" s="3">
        <f t="shared" si="13"/>
        <v>74</v>
      </c>
      <c r="S20" s="3">
        <f t="shared" si="13"/>
        <v>74</v>
      </c>
      <c r="T20" s="3">
        <f t="shared" si="13"/>
        <v>76</v>
      </c>
      <c r="U20" s="3">
        <f t="shared" si="13"/>
        <v>76</v>
      </c>
      <c r="V20" s="3">
        <f t="shared" si="13"/>
        <v>78</v>
      </c>
      <c r="W20" s="3">
        <f t="shared" si="13"/>
        <v>78</v>
      </c>
      <c r="X20" s="3">
        <f t="shared" si="13"/>
        <v>80</v>
      </c>
      <c r="Y20" s="3">
        <f t="shared" si="13"/>
        <v>80</v>
      </c>
      <c r="Z20" s="3">
        <f t="shared" si="13"/>
        <v>82</v>
      </c>
      <c r="AA20" s="3">
        <f t="shared" si="13"/>
        <v>82</v>
      </c>
      <c r="AB20" s="3">
        <f t="shared" si="13"/>
        <v>84</v>
      </c>
      <c r="AC20" s="3">
        <f t="shared" si="13"/>
        <v>84</v>
      </c>
      <c r="AD20" s="3">
        <f t="shared" si="13"/>
        <v>86</v>
      </c>
      <c r="AE20" s="3">
        <f t="shared" si="13"/>
        <v>86</v>
      </c>
      <c r="AF20" s="3"/>
    </row>
    <row r="21" spans="1:32" ht="20" customHeight="1" x14ac:dyDescent="0.45">
      <c r="A21" s="3">
        <v>4</v>
      </c>
      <c r="B21" s="4" t="s">
        <v>21</v>
      </c>
      <c r="C21" s="3">
        <v>56</v>
      </c>
      <c r="D21" s="3">
        <v>56</v>
      </c>
      <c r="E21" s="3">
        <v>56</v>
      </c>
      <c r="F21" s="3">
        <f>D21+1</f>
        <v>57</v>
      </c>
      <c r="G21" s="3">
        <f t="shared" ref="G21:AE24" si="14">E21+1</f>
        <v>57</v>
      </c>
      <c r="H21" s="3">
        <f t="shared" si="14"/>
        <v>58</v>
      </c>
      <c r="I21" s="3">
        <f t="shared" si="14"/>
        <v>58</v>
      </c>
      <c r="J21" s="3">
        <f t="shared" si="14"/>
        <v>59</v>
      </c>
      <c r="K21" s="3">
        <f t="shared" si="14"/>
        <v>59</v>
      </c>
      <c r="L21" s="3">
        <f t="shared" si="14"/>
        <v>60</v>
      </c>
      <c r="M21" s="3">
        <f t="shared" si="14"/>
        <v>60</v>
      </c>
      <c r="N21" s="3">
        <f t="shared" si="14"/>
        <v>61</v>
      </c>
      <c r="O21" s="3">
        <f t="shared" si="14"/>
        <v>61</v>
      </c>
      <c r="P21" s="3">
        <f t="shared" si="14"/>
        <v>62</v>
      </c>
      <c r="Q21" s="3">
        <f t="shared" si="14"/>
        <v>62</v>
      </c>
      <c r="R21" s="3">
        <f t="shared" si="14"/>
        <v>63</v>
      </c>
      <c r="S21" s="3">
        <f t="shared" si="14"/>
        <v>63</v>
      </c>
      <c r="T21" s="3">
        <f t="shared" si="14"/>
        <v>64</v>
      </c>
      <c r="U21" s="3">
        <f t="shared" si="14"/>
        <v>64</v>
      </c>
      <c r="V21" s="3">
        <f t="shared" si="14"/>
        <v>65</v>
      </c>
      <c r="W21" s="3">
        <f t="shared" si="14"/>
        <v>65</v>
      </c>
      <c r="X21" s="3">
        <f t="shared" si="14"/>
        <v>66</v>
      </c>
      <c r="Y21" s="3">
        <f t="shared" si="14"/>
        <v>66</v>
      </c>
      <c r="Z21" s="3">
        <f t="shared" si="14"/>
        <v>67</v>
      </c>
      <c r="AA21" s="3">
        <f t="shared" si="14"/>
        <v>67</v>
      </c>
      <c r="AB21" s="3">
        <f t="shared" si="14"/>
        <v>68</v>
      </c>
      <c r="AC21" s="3">
        <f t="shared" si="14"/>
        <v>68</v>
      </c>
      <c r="AD21" s="3">
        <f t="shared" si="14"/>
        <v>69</v>
      </c>
      <c r="AE21" s="3">
        <f t="shared" si="14"/>
        <v>69</v>
      </c>
      <c r="AF21" s="3"/>
    </row>
    <row r="22" spans="1:32" ht="20" customHeight="1" x14ac:dyDescent="0.45">
      <c r="A22" s="3">
        <v>5</v>
      </c>
      <c r="B22" s="4" t="s">
        <v>22</v>
      </c>
      <c r="C22" s="3">
        <v>44</v>
      </c>
      <c r="D22" s="3">
        <v>44</v>
      </c>
      <c r="E22" s="3">
        <v>44</v>
      </c>
      <c r="F22" s="3">
        <f>D22+1</f>
        <v>45</v>
      </c>
      <c r="G22" s="3">
        <f t="shared" si="14"/>
        <v>45</v>
      </c>
      <c r="H22" s="3">
        <f t="shared" si="14"/>
        <v>46</v>
      </c>
      <c r="I22" s="3">
        <f t="shared" si="14"/>
        <v>46</v>
      </c>
      <c r="J22" s="3">
        <f t="shared" si="14"/>
        <v>47</v>
      </c>
      <c r="K22" s="3">
        <f t="shared" si="14"/>
        <v>47</v>
      </c>
      <c r="L22" s="3">
        <f t="shared" si="14"/>
        <v>48</v>
      </c>
      <c r="M22" s="3">
        <f t="shared" si="14"/>
        <v>48</v>
      </c>
      <c r="N22" s="3">
        <f t="shared" si="14"/>
        <v>49</v>
      </c>
      <c r="O22" s="3">
        <f t="shared" si="14"/>
        <v>49</v>
      </c>
      <c r="P22" s="3">
        <f t="shared" si="14"/>
        <v>50</v>
      </c>
      <c r="Q22" s="3">
        <f t="shared" si="14"/>
        <v>50</v>
      </c>
      <c r="R22" s="3">
        <f t="shared" si="14"/>
        <v>51</v>
      </c>
      <c r="S22" s="3">
        <f t="shared" si="14"/>
        <v>51</v>
      </c>
      <c r="T22" s="3">
        <f t="shared" si="14"/>
        <v>52</v>
      </c>
      <c r="U22" s="3">
        <f t="shared" si="14"/>
        <v>52</v>
      </c>
      <c r="V22" s="3">
        <f t="shared" si="14"/>
        <v>53</v>
      </c>
      <c r="W22" s="3">
        <f t="shared" si="14"/>
        <v>53</v>
      </c>
      <c r="X22" s="3">
        <f t="shared" si="14"/>
        <v>54</v>
      </c>
      <c r="Y22" s="3">
        <f t="shared" si="14"/>
        <v>54</v>
      </c>
      <c r="Z22" s="3">
        <f t="shared" si="14"/>
        <v>55</v>
      </c>
      <c r="AA22" s="3">
        <f t="shared" si="14"/>
        <v>55</v>
      </c>
      <c r="AB22" s="3">
        <f t="shared" si="14"/>
        <v>56</v>
      </c>
      <c r="AC22" s="3">
        <f t="shared" si="14"/>
        <v>56</v>
      </c>
      <c r="AD22" s="3">
        <f t="shared" si="14"/>
        <v>57</v>
      </c>
      <c r="AE22" s="3">
        <f t="shared" si="14"/>
        <v>57</v>
      </c>
      <c r="AF22" s="3"/>
    </row>
    <row r="23" spans="1:32" ht="20" customHeight="1" x14ac:dyDescent="0.45">
      <c r="A23" s="3">
        <v>6</v>
      </c>
      <c r="B23" s="4" t="s">
        <v>23</v>
      </c>
      <c r="C23" s="3">
        <v>37</v>
      </c>
      <c r="D23" s="3">
        <v>37</v>
      </c>
      <c r="E23" s="3">
        <v>37</v>
      </c>
      <c r="F23" s="3">
        <f>D23+1</f>
        <v>38</v>
      </c>
      <c r="G23" s="3">
        <f t="shared" si="14"/>
        <v>38</v>
      </c>
      <c r="H23" s="3">
        <f t="shared" si="14"/>
        <v>39</v>
      </c>
      <c r="I23" s="3">
        <f t="shared" si="14"/>
        <v>39</v>
      </c>
      <c r="J23" s="3">
        <f t="shared" si="14"/>
        <v>40</v>
      </c>
      <c r="K23" s="3">
        <f t="shared" si="14"/>
        <v>40</v>
      </c>
      <c r="L23" s="3">
        <f t="shared" si="14"/>
        <v>41</v>
      </c>
      <c r="M23" s="3">
        <f t="shared" si="14"/>
        <v>41</v>
      </c>
      <c r="N23" s="3">
        <f t="shared" si="14"/>
        <v>42</v>
      </c>
      <c r="O23" s="3">
        <f t="shared" si="14"/>
        <v>42</v>
      </c>
      <c r="P23" s="3">
        <f t="shared" si="14"/>
        <v>43</v>
      </c>
      <c r="Q23" s="3">
        <f t="shared" si="14"/>
        <v>43</v>
      </c>
      <c r="R23" s="3">
        <f t="shared" si="14"/>
        <v>44</v>
      </c>
      <c r="S23" s="3">
        <f t="shared" si="14"/>
        <v>44</v>
      </c>
      <c r="T23" s="3">
        <f t="shared" si="14"/>
        <v>45</v>
      </c>
      <c r="U23" s="3">
        <f t="shared" si="14"/>
        <v>45</v>
      </c>
      <c r="V23" s="3">
        <f t="shared" si="14"/>
        <v>46</v>
      </c>
      <c r="W23" s="3">
        <f t="shared" si="14"/>
        <v>46</v>
      </c>
      <c r="X23" s="3">
        <f t="shared" si="14"/>
        <v>47</v>
      </c>
      <c r="Y23" s="3">
        <f t="shared" si="14"/>
        <v>47</v>
      </c>
      <c r="Z23" s="3">
        <f t="shared" si="14"/>
        <v>48</v>
      </c>
      <c r="AA23" s="3">
        <f t="shared" si="14"/>
        <v>48</v>
      </c>
      <c r="AB23" s="3">
        <f t="shared" si="14"/>
        <v>49</v>
      </c>
      <c r="AC23" s="3">
        <f t="shared" si="14"/>
        <v>49</v>
      </c>
      <c r="AD23" s="3">
        <f t="shared" si="14"/>
        <v>50</v>
      </c>
      <c r="AE23" s="3">
        <f t="shared" si="14"/>
        <v>50</v>
      </c>
      <c r="AF23" s="3">
        <f>AD23+1</f>
        <v>51</v>
      </c>
    </row>
    <row r="24" spans="1:32" ht="20" customHeight="1" x14ac:dyDescent="0.45">
      <c r="A24" s="3">
        <v>7</v>
      </c>
      <c r="B24" s="4" t="s">
        <v>18</v>
      </c>
      <c r="C24" s="3">
        <v>96</v>
      </c>
      <c r="D24" s="3">
        <v>96</v>
      </c>
      <c r="E24" s="3">
        <v>96</v>
      </c>
      <c r="F24" s="3">
        <f>D24+1</f>
        <v>97</v>
      </c>
      <c r="G24" s="3">
        <f t="shared" si="14"/>
        <v>97</v>
      </c>
      <c r="H24" s="3">
        <f t="shared" si="14"/>
        <v>98</v>
      </c>
      <c r="I24" s="3">
        <f t="shared" si="14"/>
        <v>98</v>
      </c>
      <c r="J24" s="3">
        <f t="shared" si="14"/>
        <v>99</v>
      </c>
      <c r="K24" s="3">
        <f t="shared" si="14"/>
        <v>99</v>
      </c>
      <c r="L24" s="3">
        <f t="shared" si="14"/>
        <v>100</v>
      </c>
      <c r="M24" s="3">
        <f t="shared" si="14"/>
        <v>100</v>
      </c>
      <c r="N24" s="3">
        <f t="shared" si="14"/>
        <v>101</v>
      </c>
      <c r="O24" s="3">
        <f t="shared" si="14"/>
        <v>101</v>
      </c>
      <c r="P24" s="3">
        <f t="shared" si="14"/>
        <v>102</v>
      </c>
      <c r="Q24" s="3">
        <f t="shared" si="14"/>
        <v>102</v>
      </c>
      <c r="R24" s="3">
        <f t="shared" si="14"/>
        <v>103</v>
      </c>
      <c r="S24" s="3">
        <f t="shared" si="14"/>
        <v>103</v>
      </c>
      <c r="T24" s="3">
        <f t="shared" si="14"/>
        <v>104</v>
      </c>
      <c r="U24" s="3">
        <f t="shared" si="14"/>
        <v>104</v>
      </c>
      <c r="V24" s="3">
        <f t="shared" si="14"/>
        <v>105</v>
      </c>
      <c r="W24" s="3">
        <f t="shared" si="14"/>
        <v>105</v>
      </c>
      <c r="X24" s="3">
        <f t="shared" si="14"/>
        <v>106</v>
      </c>
      <c r="Y24" s="3">
        <f t="shared" si="14"/>
        <v>106</v>
      </c>
      <c r="Z24" s="3">
        <f t="shared" si="14"/>
        <v>107</v>
      </c>
      <c r="AA24" s="3">
        <f t="shared" si="14"/>
        <v>107</v>
      </c>
      <c r="AB24" s="3">
        <f t="shared" si="14"/>
        <v>108</v>
      </c>
      <c r="AC24" s="3">
        <v>108</v>
      </c>
      <c r="AD24" s="3">
        <v>108</v>
      </c>
      <c r="AE24" s="3">
        <v>108</v>
      </c>
      <c r="AF24" s="3">
        <v>108</v>
      </c>
    </row>
    <row r="25" spans="1:32" x14ac:dyDescent="0.45">
      <c r="F25" s="36"/>
      <c r="G25" s="36"/>
      <c r="H25" s="35"/>
      <c r="I25" s="35"/>
      <c r="J25" s="35"/>
      <c r="K25" s="36"/>
      <c r="L25" s="36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Size Baju Pria</vt:lpstr>
      <vt:lpstr>Grouping Size Celana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Mahacara Mulia Nusantara</dc:creator>
  <cp:lastModifiedBy>Mahacara Mulia Nusantara</cp:lastModifiedBy>
  <dcterms:created xsi:type="dcterms:W3CDTF">2025-07-11T03:09:41Z</dcterms:created>
  <dcterms:modified xsi:type="dcterms:W3CDTF">2026-09-02T05:35:31Z</dcterms:modified>
</cp:coreProperties>
</file>